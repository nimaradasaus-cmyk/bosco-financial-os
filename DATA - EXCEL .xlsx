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nicolasmaradas/Desktop/HUB CENTRAL/DATA : EXCEL/"/>
    </mc:Choice>
  </mc:AlternateContent>
  <xr:revisionPtr revIDLastSave="0" documentId="13_ncr:1_{2D9C5166-C9EF-4D44-9A9B-44573B0DB054}" xr6:coauthVersionLast="47" xr6:coauthVersionMax="47" xr10:uidLastSave="{00000000-0000-0000-0000-000000000000}"/>
  <bookViews>
    <workbookView xWindow="0" yWindow="500" windowWidth="28800" windowHeight="16180" activeTab="1" xr2:uid="{06385C80-C94E-594C-8314-807FB16BB7C0}"/>
  </bookViews>
  <sheets>
    <sheet name="Eagle View" sheetId="6" r:id="rId1"/>
    <sheet name="Headquarters" sheetId="1" r:id="rId2"/>
    <sheet name="Money Flow" sheetId="8" r:id="rId3"/>
    <sheet name="Work Income Tracker" sheetId="2" r:id="rId4"/>
    <sheet name="Investing" sheetId="3" r:id="rId5"/>
    <sheet name="Stock Picking Scorecard"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1" l="1"/>
  <c r="E74" i="1"/>
  <c r="C80" i="1" s="1"/>
  <c r="F74" i="1"/>
  <c r="G74" i="1"/>
  <c r="C81" i="1" s="1"/>
  <c r="C99" i="1" s="1"/>
  <c r="H74" i="1"/>
  <c r="I74" i="1"/>
  <c r="C83" i="1" s="1"/>
  <c r="D25" i="1" s="1"/>
  <c r="C74" i="1"/>
  <c r="C78" i="1" s="1"/>
  <c r="H147" i="2"/>
  <c r="N147" i="2" s="1"/>
  <c r="N152" i="2" s="1"/>
  <c r="E147" i="2"/>
  <c r="D173" i="2"/>
  <c r="C82" i="1"/>
  <c r="C79" i="1"/>
  <c r="M69" i="1"/>
  <c r="M70" i="1"/>
  <c r="L71" i="1"/>
  <c r="M71" i="1"/>
  <c r="L72" i="1"/>
  <c r="M72" i="1"/>
  <c r="M146" i="2"/>
  <c r="L146" i="2"/>
  <c r="H364" i="8"/>
  <c r="H525" i="8"/>
  <c r="H493" i="8"/>
  <c r="H461" i="8"/>
  <c r="H429" i="8"/>
  <c r="H397" i="8"/>
  <c r="H365" i="8"/>
  <c r="K78" i="1" a="1"/>
  <c r="K78" i="1" s="1"/>
  <c r="K69" i="1" s="1"/>
  <c r="AB15" i="3" a="1"/>
  <c r="AB15" i="3" s="1"/>
  <c r="AC10" i="3" a="1"/>
  <c r="AC10" i="3" s="1"/>
  <c r="W10" i="3" a="1"/>
  <c r="W10" i="3" s="1"/>
  <c r="Q17" i="3" a="1"/>
  <c r="Q17" i="3" s="1"/>
  <c r="K17" i="3" a="1"/>
  <c r="K17" i="3" s="1"/>
  <c r="E31" i="3" a="1"/>
  <c r="E31" i="3" s="1"/>
  <c r="H146" i="2"/>
  <c r="J12" i="1"/>
  <c r="C102" i="1"/>
  <c r="C91" i="1"/>
  <c r="E146" i="2"/>
  <c r="H359" i="8"/>
  <c r="D174" i="2"/>
  <c r="C174" i="2"/>
  <c r="C173" i="2"/>
  <c r="D172" i="2"/>
  <c r="C172" i="2"/>
  <c r="M68" i="1"/>
  <c r="C569" i="8"/>
  <c r="E569" i="8"/>
  <c r="F569" i="8"/>
  <c r="G569" i="8"/>
  <c r="H569" i="8"/>
  <c r="I569" i="8"/>
  <c r="J569" i="8"/>
  <c r="K569" i="8"/>
  <c r="C570" i="8"/>
  <c r="E570" i="8"/>
  <c r="F570" i="8"/>
  <c r="G570" i="8"/>
  <c r="H570" i="8"/>
  <c r="I570" i="8"/>
  <c r="J570" i="8"/>
  <c r="K570" i="8"/>
  <c r="C571" i="8"/>
  <c r="E571" i="8"/>
  <c r="F571" i="8"/>
  <c r="G571" i="8"/>
  <c r="H571" i="8"/>
  <c r="I571" i="8"/>
  <c r="J571" i="8"/>
  <c r="K571" i="8"/>
  <c r="C572" i="8"/>
  <c r="E572" i="8"/>
  <c r="F572" i="8"/>
  <c r="G572" i="8"/>
  <c r="H572" i="8"/>
  <c r="I572" i="8"/>
  <c r="J572" i="8"/>
  <c r="K572" i="8"/>
  <c r="C573" i="8"/>
  <c r="E573" i="8"/>
  <c r="F573" i="8"/>
  <c r="G573" i="8"/>
  <c r="H573" i="8"/>
  <c r="I573" i="8"/>
  <c r="J573" i="8"/>
  <c r="K573" i="8"/>
  <c r="C574" i="8"/>
  <c r="E574" i="8"/>
  <c r="F574" i="8"/>
  <c r="G574" i="8"/>
  <c r="H574" i="8"/>
  <c r="I574" i="8"/>
  <c r="J574" i="8"/>
  <c r="K574" i="8"/>
  <c r="C575" i="8"/>
  <c r="E575" i="8"/>
  <c r="F575" i="8"/>
  <c r="G575" i="8"/>
  <c r="H575" i="8"/>
  <c r="I575" i="8"/>
  <c r="J575" i="8"/>
  <c r="K575" i="8"/>
  <c r="C576" i="8"/>
  <c r="E576" i="8"/>
  <c r="F576" i="8"/>
  <c r="G576" i="8"/>
  <c r="H576" i="8"/>
  <c r="I576" i="8"/>
  <c r="J576" i="8"/>
  <c r="K576" i="8"/>
  <c r="E568" i="8"/>
  <c r="F568" i="8"/>
  <c r="G568" i="8"/>
  <c r="H568" i="8"/>
  <c r="I568" i="8"/>
  <c r="J568" i="8"/>
  <c r="K568" i="8"/>
  <c r="D30" i="3"/>
  <c r="E30" i="3"/>
  <c r="D29" i="3"/>
  <c r="C30" i="3"/>
  <c r="J147" i="2"/>
  <c r="H335" i="8"/>
  <c r="H358" i="8"/>
  <c r="T332" i="8"/>
  <c r="S332" i="8"/>
  <c r="R332" i="8"/>
  <c r="Q332" i="8"/>
  <c r="P332" i="8"/>
  <c r="O332" i="8"/>
  <c r="N332" i="8"/>
  <c r="H521" i="8"/>
  <c r="H519" i="8"/>
  <c r="N4" i="8"/>
  <c r="O4" i="8"/>
  <c r="P4" i="8"/>
  <c r="Q4" i="8"/>
  <c r="R4" i="8"/>
  <c r="S4" i="8"/>
  <c r="T4" i="8"/>
  <c r="N5" i="8"/>
  <c r="O5" i="8"/>
  <c r="P5" i="8"/>
  <c r="Q5" i="8"/>
  <c r="R5" i="8"/>
  <c r="S5" i="8"/>
  <c r="T5" i="8"/>
  <c r="N6" i="8"/>
  <c r="O6" i="8"/>
  <c r="P6" i="8"/>
  <c r="Q6" i="8"/>
  <c r="R6" i="8"/>
  <c r="S6" i="8"/>
  <c r="T6" i="8"/>
  <c r="N7" i="8"/>
  <c r="O7" i="8"/>
  <c r="P7" i="8"/>
  <c r="Q7" i="8"/>
  <c r="R7" i="8"/>
  <c r="S7" i="8"/>
  <c r="T7" i="8"/>
  <c r="N8" i="8"/>
  <c r="O8" i="8"/>
  <c r="P8" i="8"/>
  <c r="Q8" i="8"/>
  <c r="R8" i="8"/>
  <c r="S8" i="8"/>
  <c r="T8" i="8"/>
  <c r="N9" i="8"/>
  <c r="O9" i="8"/>
  <c r="P9" i="8"/>
  <c r="Q9" i="8"/>
  <c r="R9" i="8"/>
  <c r="S9" i="8"/>
  <c r="T9" i="8"/>
  <c r="N10" i="8"/>
  <c r="O10" i="8"/>
  <c r="P10" i="8"/>
  <c r="Q10" i="8"/>
  <c r="R10" i="8"/>
  <c r="S10" i="8"/>
  <c r="T10" i="8"/>
  <c r="N11" i="8"/>
  <c r="O11" i="8"/>
  <c r="P11" i="8"/>
  <c r="Q11" i="8"/>
  <c r="R11" i="8"/>
  <c r="S11" i="8"/>
  <c r="T11" i="8"/>
  <c r="N12" i="8"/>
  <c r="O12" i="8"/>
  <c r="P12" i="8"/>
  <c r="Q12" i="8"/>
  <c r="R12" i="8"/>
  <c r="S12" i="8"/>
  <c r="T12" i="8"/>
  <c r="N13" i="8"/>
  <c r="O13" i="8"/>
  <c r="P13" i="8"/>
  <c r="Q13" i="8"/>
  <c r="R13" i="8"/>
  <c r="S13" i="8"/>
  <c r="T13" i="8"/>
  <c r="N14" i="8"/>
  <c r="O14" i="8"/>
  <c r="P14" i="8"/>
  <c r="Q14" i="8"/>
  <c r="R14" i="8"/>
  <c r="S14" i="8"/>
  <c r="T14" i="8"/>
  <c r="N15" i="8"/>
  <c r="O15" i="8"/>
  <c r="P15" i="8"/>
  <c r="Q15" i="8"/>
  <c r="R15" i="8"/>
  <c r="S15" i="8"/>
  <c r="T15" i="8"/>
  <c r="N16" i="8"/>
  <c r="O16" i="8"/>
  <c r="P16" i="8"/>
  <c r="Q16" i="8"/>
  <c r="R16" i="8"/>
  <c r="S16" i="8"/>
  <c r="T16" i="8"/>
  <c r="N17" i="8"/>
  <c r="O17" i="8"/>
  <c r="P17" i="8"/>
  <c r="Q17" i="8"/>
  <c r="R17" i="8"/>
  <c r="S17" i="8"/>
  <c r="T17" i="8"/>
  <c r="N18" i="8"/>
  <c r="O18" i="8"/>
  <c r="P18" i="8"/>
  <c r="Q18" i="8"/>
  <c r="R18" i="8"/>
  <c r="S18" i="8"/>
  <c r="T18" i="8"/>
  <c r="N19" i="8"/>
  <c r="O19" i="8"/>
  <c r="P19" i="8"/>
  <c r="Q19" i="8"/>
  <c r="R19" i="8"/>
  <c r="S19" i="8"/>
  <c r="T19" i="8"/>
  <c r="H20" i="8"/>
  <c r="N20" i="8"/>
  <c r="O20" i="8"/>
  <c r="P20" i="8"/>
  <c r="Q20" i="8"/>
  <c r="R20" i="8"/>
  <c r="S20" i="8"/>
  <c r="T20" i="8"/>
  <c r="H21" i="8"/>
  <c r="N21" i="8"/>
  <c r="O21" i="8"/>
  <c r="P21" i="8"/>
  <c r="Q21" i="8"/>
  <c r="R21" i="8"/>
  <c r="S21" i="8"/>
  <c r="T21" i="8"/>
  <c r="H22" i="8"/>
  <c r="N22" i="8"/>
  <c r="O22" i="8"/>
  <c r="P22" i="8"/>
  <c r="Q22" i="8"/>
  <c r="R22" i="8"/>
  <c r="S22" i="8"/>
  <c r="T22" i="8"/>
  <c r="H23" i="8"/>
  <c r="N23" i="8"/>
  <c r="O23" i="8"/>
  <c r="P23" i="8"/>
  <c r="Q23" i="8"/>
  <c r="R23" i="8"/>
  <c r="S23" i="8"/>
  <c r="T23" i="8"/>
  <c r="H24" i="8"/>
  <c r="N24" i="8"/>
  <c r="O24" i="8"/>
  <c r="P24" i="8"/>
  <c r="Q24" i="8"/>
  <c r="R24" i="8"/>
  <c r="S24" i="8"/>
  <c r="T24" i="8"/>
  <c r="H25" i="8"/>
  <c r="N25" i="8"/>
  <c r="O25" i="8"/>
  <c r="P25" i="8"/>
  <c r="Q25" i="8"/>
  <c r="R25" i="8"/>
  <c r="S25" i="8"/>
  <c r="T25" i="8"/>
  <c r="H26" i="8"/>
  <c r="N26" i="8"/>
  <c r="O26" i="8"/>
  <c r="P26" i="8"/>
  <c r="Q26" i="8"/>
  <c r="R26" i="8"/>
  <c r="S26" i="8"/>
  <c r="T26" i="8"/>
  <c r="N27" i="8"/>
  <c r="O27" i="8"/>
  <c r="P27" i="8"/>
  <c r="Q27" i="8"/>
  <c r="R27" i="8"/>
  <c r="S27" i="8"/>
  <c r="T27" i="8"/>
  <c r="N28" i="8"/>
  <c r="O28" i="8"/>
  <c r="P28" i="8"/>
  <c r="Q28" i="8"/>
  <c r="R28" i="8"/>
  <c r="S28" i="8"/>
  <c r="T28" i="8"/>
  <c r="N30" i="8"/>
  <c r="O30" i="8"/>
  <c r="P30" i="8"/>
  <c r="Q30" i="8"/>
  <c r="R30" i="8"/>
  <c r="S30" i="8"/>
  <c r="T30" i="8"/>
  <c r="N31" i="8"/>
  <c r="O31" i="8"/>
  <c r="P31" i="8"/>
  <c r="Q31" i="8"/>
  <c r="R31" i="8"/>
  <c r="S31" i="8"/>
  <c r="T31" i="8"/>
  <c r="N32" i="8"/>
  <c r="O32" i="8"/>
  <c r="P32" i="8"/>
  <c r="Q32" i="8"/>
  <c r="R32" i="8"/>
  <c r="S32" i="8"/>
  <c r="T32" i="8"/>
  <c r="N33" i="8"/>
  <c r="O33" i="8"/>
  <c r="P33" i="8"/>
  <c r="Q33" i="8"/>
  <c r="R33" i="8"/>
  <c r="S33" i="8"/>
  <c r="T33" i="8"/>
  <c r="N34" i="8"/>
  <c r="O34" i="8"/>
  <c r="P34" i="8"/>
  <c r="Q34" i="8"/>
  <c r="R34" i="8"/>
  <c r="S34" i="8"/>
  <c r="T34" i="8"/>
  <c r="N35" i="8"/>
  <c r="O35" i="8"/>
  <c r="P35" i="8"/>
  <c r="Q35" i="8"/>
  <c r="R35" i="8"/>
  <c r="S35" i="8"/>
  <c r="T35" i="8"/>
  <c r="N36" i="8"/>
  <c r="O36" i="8"/>
  <c r="P36" i="8"/>
  <c r="Q36" i="8"/>
  <c r="R36" i="8"/>
  <c r="S36" i="8"/>
  <c r="T36" i="8"/>
  <c r="N37" i="8"/>
  <c r="O37" i="8"/>
  <c r="P37" i="8"/>
  <c r="Q37" i="8"/>
  <c r="R37" i="8"/>
  <c r="S37" i="8"/>
  <c r="T37" i="8"/>
  <c r="N38" i="8"/>
  <c r="O38" i="8"/>
  <c r="P38" i="8"/>
  <c r="Q38" i="8"/>
  <c r="R38" i="8"/>
  <c r="S38" i="8"/>
  <c r="T38" i="8"/>
  <c r="N39" i="8"/>
  <c r="O39" i="8"/>
  <c r="P39" i="8"/>
  <c r="Q39" i="8"/>
  <c r="R39" i="8"/>
  <c r="S39" i="8"/>
  <c r="T39" i="8"/>
  <c r="N40" i="8"/>
  <c r="O40" i="8"/>
  <c r="P40" i="8"/>
  <c r="Q40" i="8"/>
  <c r="R40" i="8"/>
  <c r="S40" i="8"/>
  <c r="T40" i="8"/>
  <c r="H41" i="8"/>
  <c r="N41" i="8"/>
  <c r="O41" i="8"/>
  <c r="P41" i="8"/>
  <c r="Q41" i="8"/>
  <c r="R41" i="8"/>
  <c r="S41" i="8"/>
  <c r="T41" i="8"/>
  <c r="H42" i="8"/>
  <c r="N42" i="8"/>
  <c r="O42" i="8"/>
  <c r="P42" i="8"/>
  <c r="Q42" i="8"/>
  <c r="R42" i="8"/>
  <c r="S42" i="8"/>
  <c r="T42" i="8"/>
  <c r="H43" i="8"/>
  <c r="N43" i="8"/>
  <c r="O43" i="8"/>
  <c r="P43" i="8"/>
  <c r="Q43" i="8"/>
  <c r="R43" i="8"/>
  <c r="S43" i="8"/>
  <c r="T43" i="8"/>
  <c r="H44" i="8"/>
  <c r="N44" i="8"/>
  <c r="O44" i="8"/>
  <c r="P44" i="8"/>
  <c r="Q44" i="8"/>
  <c r="R44" i="8"/>
  <c r="S44" i="8"/>
  <c r="T44" i="8"/>
  <c r="H45" i="8"/>
  <c r="N45" i="8"/>
  <c r="O45" i="8"/>
  <c r="P45" i="8"/>
  <c r="Q45" i="8"/>
  <c r="R45" i="8"/>
  <c r="S45" i="8"/>
  <c r="T45" i="8"/>
  <c r="H46" i="8"/>
  <c r="N46" i="8"/>
  <c r="O46" i="8"/>
  <c r="P46" i="8"/>
  <c r="Q46" i="8"/>
  <c r="R46" i="8"/>
  <c r="S46" i="8"/>
  <c r="T46" i="8"/>
  <c r="H47" i="8"/>
  <c r="N47" i="8"/>
  <c r="O47" i="8"/>
  <c r="P47" i="8"/>
  <c r="Q47" i="8"/>
  <c r="R47" i="8"/>
  <c r="S47" i="8"/>
  <c r="T47" i="8"/>
  <c r="N48" i="8"/>
  <c r="O48" i="8"/>
  <c r="P48" i="8"/>
  <c r="Q48" i="8"/>
  <c r="R48" i="8"/>
  <c r="S48" i="8"/>
  <c r="T48" i="8"/>
  <c r="N49" i="8"/>
  <c r="O49" i="8"/>
  <c r="P49" i="8"/>
  <c r="Q49" i="8"/>
  <c r="R49" i="8"/>
  <c r="S49" i="8"/>
  <c r="T49" i="8"/>
  <c r="N51" i="8"/>
  <c r="O51" i="8"/>
  <c r="P51" i="8"/>
  <c r="Q51" i="8"/>
  <c r="R51" i="8"/>
  <c r="S51" i="8"/>
  <c r="T51" i="8"/>
  <c r="N52" i="8"/>
  <c r="O52" i="8"/>
  <c r="P52" i="8"/>
  <c r="Q52" i="8"/>
  <c r="R52" i="8"/>
  <c r="S52" i="8"/>
  <c r="T52" i="8"/>
  <c r="N53" i="8"/>
  <c r="O53" i="8"/>
  <c r="P53" i="8"/>
  <c r="Q53" i="8"/>
  <c r="R53" i="8"/>
  <c r="S53" i="8"/>
  <c r="T53" i="8"/>
  <c r="N54" i="8"/>
  <c r="O54" i="8"/>
  <c r="P54" i="8"/>
  <c r="Q54" i="8"/>
  <c r="R54" i="8"/>
  <c r="S54" i="8"/>
  <c r="T54" i="8"/>
  <c r="N55" i="8"/>
  <c r="O55" i="8"/>
  <c r="P55" i="8"/>
  <c r="Q55" i="8"/>
  <c r="R55" i="8"/>
  <c r="S55" i="8"/>
  <c r="T55" i="8"/>
  <c r="N56" i="8"/>
  <c r="O56" i="8"/>
  <c r="P56" i="8"/>
  <c r="Q56" i="8"/>
  <c r="R56" i="8"/>
  <c r="S56" i="8"/>
  <c r="T56" i="8"/>
  <c r="N57" i="8"/>
  <c r="O57" i="8"/>
  <c r="P57" i="8"/>
  <c r="Q57" i="8"/>
  <c r="R57" i="8"/>
  <c r="S57" i="8"/>
  <c r="T57" i="8"/>
  <c r="N58" i="8"/>
  <c r="O58" i="8"/>
  <c r="P58" i="8"/>
  <c r="Q58" i="8"/>
  <c r="R58" i="8"/>
  <c r="S58" i="8"/>
  <c r="T58" i="8"/>
  <c r="N59" i="8"/>
  <c r="O59" i="8"/>
  <c r="P59" i="8"/>
  <c r="Q59" i="8"/>
  <c r="R59" i="8"/>
  <c r="S59" i="8"/>
  <c r="T59" i="8"/>
  <c r="N60" i="8"/>
  <c r="O60" i="8"/>
  <c r="P60" i="8"/>
  <c r="Q60" i="8"/>
  <c r="R60" i="8"/>
  <c r="S60" i="8"/>
  <c r="T60" i="8"/>
  <c r="N61" i="8"/>
  <c r="O61" i="8"/>
  <c r="P61" i="8"/>
  <c r="Q61" i="8"/>
  <c r="R61" i="8"/>
  <c r="S61" i="8"/>
  <c r="T61" i="8"/>
  <c r="N62" i="8"/>
  <c r="O62" i="8"/>
  <c r="P62" i="8"/>
  <c r="Q62" i="8"/>
  <c r="R62" i="8"/>
  <c r="S62" i="8"/>
  <c r="T62" i="8"/>
  <c r="N63" i="8"/>
  <c r="O63" i="8"/>
  <c r="P63" i="8"/>
  <c r="Q63" i="8"/>
  <c r="R63" i="8"/>
  <c r="S63" i="8"/>
  <c r="T63" i="8"/>
  <c r="N64" i="8"/>
  <c r="O64" i="8"/>
  <c r="P64" i="8"/>
  <c r="Q64" i="8"/>
  <c r="R64" i="8"/>
  <c r="S64" i="8"/>
  <c r="T64" i="8"/>
  <c r="H65" i="8"/>
  <c r="N65" i="8"/>
  <c r="O65" i="8"/>
  <c r="P65" i="8"/>
  <c r="Q65" i="8"/>
  <c r="R65" i="8"/>
  <c r="S65" i="8"/>
  <c r="T65" i="8"/>
  <c r="H66" i="8"/>
  <c r="N66" i="8"/>
  <c r="O66" i="8"/>
  <c r="P66" i="8"/>
  <c r="Q66" i="8"/>
  <c r="R66" i="8"/>
  <c r="S66" i="8"/>
  <c r="T66" i="8"/>
  <c r="H67" i="8"/>
  <c r="N67" i="8"/>
  <c r="O67" i="8"/>
  <c r="P67" i="8"/>
  <c r="Q67" i="8"/>
  <c r="R67" i="8"/>
  <c r="S67" i="8"/>
  <c r="T67" i="8"/>
  <c r="H68" i="8"/>
  <c r="N68" i="8"/>
  <c r="O68" i="8"/>
  <c r="P68" i="8"/>
  <c r="Q68" i="8"/>
  <c r="R68" i="8"/>
  <c r="S68" i="8"/>
  <c r="T68" i="8"/>
  <c r="H69" i="8"/>
  <c r="N69" i="8"/>
  <c r="O69" i="8"/>
  <c r="P69" i="8"/>
  <c r="Q69" i="8"/>
  <c r="R69" i="8"/>
  <c r="S69" i="8"/>
  <c r="T69" i="8"/>
  <c r="H70" i="8"/>
  <c r="N70" i="8"/>
  <c r="O70" i="8"/>
  <c r="P70" i="8"/>
  <c r="Q70" i="8"/>
  <c r="R70" i="8"/>
  <c r="S70" i="8"/>
  <c r="T70" i="8"/>
  <c r="H71" i="8"/>
  <c r="H72" i="8" s="1"/>
  <c r="N71" i="8"/>
  <c r="O71" i="8"/>
  <c r="P71" i="8"/>
  <c r="Q71" i="8"/>
  <c r="R71" i="8"/>
  <c r="S71" i="8"/>
  <c r="T71" i="8"/>
  <c r="N72" i="8"/>
  <c r="O72" i="8"/>
  <c r="P72" i="8"/>
  <c r="Q72" i="8"/>
  <c r="R72" i="8"/>
  <c r="S72" i="8"/>
  <c r="T72" i="8"/>
  <c r="N73" i="8"/>
  <c r="O73" i="8"/>
  <c r="P73" i="8"/>
  <c r="Q73" i="8"/>
  <c r="R73" i="8"/>
  <c r="S73" i="8"/>
  <c r="T73" i="8"/>
  <c r="N75" i="8"/>
  <c r="O75" i="8"/>
  <c r="P75" i="8"/>
  <c r="Q75" i="8"/>
  <c r="R75" i="8"/>
  <c r="S75" i="8"/>
  <c r="T75" i="8"/>
  <c r="N76" i="8"/>
  <c r="O76" i="8"/>
  <c r="P76" i="8"/>
  <c r="Q76" i="8"/>
  <c r="R76" i="8"/>
  <c r="S76" i="8"/>
  <c r="T76" i="8"/>
  <c r="N77" i="8"/>
  <c r="O77" i="8"/>
  <c r="P77" i="8"/>
  <c r="Q77" i="8"/>
  <c r="R77" i="8"/>
  <c r="S77" i="8"/>
  <c r="T77" i="8"/>
  <c r="N78" i="8"/>
  <c r="O78" i="8"/>
  <c r="P78" i="8"/>
  <c r="Q78" i="8"/>
  <c r="R78" i="8"/>
  <c r="S78" i="8"/>
  <c r="T78" i="8"/>
  <c r="N79" i="8"/>
  <c r="O79" i="8"/>
  <c r="P79" i="8"/>
  <c r="Q79" i="8"/>
  <c r="R79" i="8"/>
  <c r="S79" i="8"/>
  <c r="T79" i="8"/>
  <c r="N80" i="8"/>
  <c r="O80" i="8"/>
  <c r="P80" i="8"/>
  <c r="Q80" i="8"/>
  <c r="R80" i="8"/>
  <c r="S80" i="8"/>
  <c r="T80" i="8"/>
  <c r="N81" i="8"/>
  <c r="O81" i="8"/>
  <c r="P81" i="8"/>
  <c r="Q81" i="8"/>
  <c r="R81" i="8"/>
  <c r="S81" i="8"/>
  <c r="T81" i="8"/>
  <c r="N82" i="8"/>
  <c r="O82" i="8"/>
  <c r="P82" i="8"/>
  <c r="Q82" i="8"/>
  <c r="R82" i="8"/>
  <c r="S82" i="8"/>
  <c r="T82" i="8"/>
  <c r="N83" i="8"/>
  <c r="O83" i="8"/>
  <c r="P83" i="8"/>
  <c r="Q83" i="8"/>
  <c r="R83" i="8"/>
  <c r="S83" i="8"/>
  <c r="T83" i="8"/>
  <c r="N84" i="8"/>
  <c r="O84" i="8"/>
  <c r="P84" i="8"/>
  <c r="Q84" i="8"/>
  <c r="R84" i="8"/>
  <c r="S84" i="8"/>
  <c r="T84" i="8"/>
  <c r="H85" i="8"/>
  <c r="N85" i="8"/>
  <c r="O85" i="8"/>
  <c r="P85" i="8"/>
  <c r="Q85" i="8"/>
  <c r="R85" i="8"/>
  <c r="S85" i="8"/>
  <c r="T85" i="8"/>
  <c r="H86" i="8"/>
  <c r="N86" i="8"/>
  <c r="O86" i="8"/>
  <c r="P86" i="8"/>
  <c r="Q86" i="8"/>
  <c r="R86" i="8"/>
  <c r="S86" i="8"/>
  <c r="T86" i="8"/>
  <c r="H87" i="8"/>
  <c r="N87" i="8"/>
  <c r="O87" i="8"/>
  <c r="P87" i="8"/>
  <c r="Q87" i="8"/>
  <c r="R87" i="8"/>
  <c r="S87" i="8"/>
  <c r="T87" i="8"/>
  <c r="H88" i="8"/>
  <c r="N88" i="8"/>
  <c r="O88" i="8"/>
  <c r="P88" i="8"/>
  <c r="Q88" i="8"/>
  <c r="R88" i="8"/>
  <c r="S88" i="8"/>
  <c r="T88" i="8"/>
  <c r="H89" i="8"/>
  <c r="N89" i="8"/>
  <c r="O89" i="8"/>
  <c r="P89" i="8"/>
  <c r="Q89" i="8"/>
  <c r="R89" i="8"/>
  <c r="S89" i="8"/>
  <c r="T89" i="8"/>
  <c r="H90" i="8"/>
  <c r="N90" i="8"/>
  <c r="O90" i="8"/>
  <c r="P90" i="8"/>
  <c r="Q90" i="8"/>
  <c r="R90" i="8"/>
  <c r="S90" i="8"/>
  <c r="T90" i="8"/>
  <c r="H91" i="8"/>
  <c r="N91" i="8"/>
  <c r="O91" i="8"/>
  <c r="P91" i="8"/>
  <c r="Q91" i="8"/>
  <c r="R91" i="8"/>
  <c r="S91" i="8"/>
  <c r="T91" i="8"/>
  <c r="H92" i="8"/>
  <c r="N92" i="8"/>
  <c r="O92" i="8"/>
  <c r="P92" i="8"/>
  <c r="Q92" i="8"/>
  <c r="R92" i="8"/>
  <c r="S92" i="8"/>
  <c r="T92" i="8"/>
  <c r="H93" i="8"/>
  <c r="H94" i="8" s="1"/>
  <c r="N93" i="8"/>
  <c r="O93" i="8"/>
  <c r="P93" i="8"/>
  <c r="Q93" i="8"/>
  <c r="R93" i="8"/>
  <c r="S93" i="8"/>
  <c r="T93" i="8"/>
  <c r="N95" i="8"/>
  <c r="O95" i="8"/>
  <c r="P95" i="8"/>
  <c r="Q95" i="8"/>
  <c r="R95" i="8"/>
  <c r="S95" i="8"/>
  <c r="T95" i="8"/>
  <c r="N96" i="8"/>
  <c r="O96" i="8"/>
  <c r="P96" i="8"/>
  <c r="Q96" i="8"/>
  <c r="R96" i="8"/>
  <c r="S96" i="8"/>
  <c r="T96" i="8"/>
  <c r="N97" i="8"/>
  <c r="O97" i="8"/>
  <c r="P97" i="8"/>
  <c r="Q97" i="8"/>
  <c r="R97" i="8"/>
  <c r="S97" i="8"/>
  <c r="T97" i="8"/>
  <c r="N98" i="8"/>
  <c r="O98" i="8"/>
  <c r="P98" i="8"/>
  <c r="Q98" i="8"/>
  <c r="R98" i="8"/>
  <c r="S98" i="8"/>
  <c r="T98" i="8"/>
  <c r="N99" i="8"/>
  <c r="O99" i="8"/>
  <c r="P99" i="8"/>
  <c r="Q99" i="8"/>
  <c r="R99" i="8"/>
  <c r="S99" i="8"/>
  <c r="T99" i="8"/>
  <c r="N100" i="8"/>
  <c r="O100" i="8"/>
  <c r="P100" i="8"/>
  <c r="Q100" i="8"/>
  <c r="R100" i="8"/>
  <c r="S100" i="8"/>
  <c r="T100" i="8"/>
  <c r="N101" i="8"/>
  <c r="O101" i="8"/>
  <c r="P101" i="8"/>
  <c r="Q101" i="8"/>
  <c r="R101" i="8"/>
  <c r="S101" i="8"/>
  <c r="T101" i="8"/>
  <c r="N102" i="8"/>
  <c r="O102" i="8"/>
  <c r="P102" i="8"/>
  <c r="Q102" i="8"/>
  <c r="R102" i="8"/>
  <c r="S102" i="8"/>
  <c r="T102" i="8"/>
  <c r="N103" i="8"/>
  <c r="O103" i="8"/>
  <c r="P103" i="8"/>
  <c r="Q103" i="8"/>
  <c r="R103" i="8"/>
  <c r="S103" i="8"/>
  <c r="T103" i="8"/>
  <c r="N104" i="8"/>
  <c r="O104" i="8"/>
  <c r="P104" i="8"/>
  <c r="Q104" i="8"/>
  <c r="R104" i="8"/>
  <c r="S104" i="8"/>
  <c r="T104" i="8"/>
  <c r="N105" i="8"/>
  <c r="O105" i="8"/>
  <c r="P105" i="8"/>
  <c r="Q105" i="8"/>
  <c r="R105" i="8"/>
  <c r="S105" i="8"/>
  <c r="T105" i="8"/>
  <c r="N106" i="8"/>
  <c r="O106" i="8"/>
  <c r="P106" i="8"/>
  <c r="Q106" i="8"/>
  <c r="R106" i="8"/>
  <c r="S106" i="8"/>
  <c r="T106" i="8"/>
  <c r="N107" i="8"/>
  <c r="O107" i="8"/>
  <c r="P107" i="8"/>
  <c r="Q107" i="8"/>
  <c r="R107" i="8"/>
  <c r="S107" i="8"/>
  <c r="T107" i="8"/>
  <c r="N108" i="8"/>
  <c r="O108" i="8"/>
  <c r="P108" i="8"/>
  <c r="Q108" i="8"/>
  <c r="R108" i="8"/>
  <c r="S108" i="8"/>
  <c r="T108" i="8"/>
  <c r="N109" i="8"/>
  <c r="O109" i="8"/>
  <c r="P109" i="8"/>
  <c r="Q109" i="8"/>
  <c r="R109" i="8"/>
  <c r="S109" i="8"/>
  <c r="T109" i="8"/>
  <c r="N110" i="8"/>
  <c r="O110" i="8"/>
  <c r="P110" i="8"/>
  <c r="Q110" i="8"/>
  <c r="R110" i="8"/>
  <c r="S110" i="8"/>
  <c r="T110" i="8"/>
  <c r="N111" i="8"/>
  <c r="O111" i="8"/>
  <c r="P111" i="8"/>
  <c r="Q111" i="8"/>
  <c r="R111" i="8"/>
  <c r="S111" i="8"/>
  <c r="T111" i="8"/>
  <c r="N112" i="8"/>
  <c r="O112" i="8"/>
  <c r="P112" i="8"/>
  <c r="Q112" i="8"/>
  <c r="R112" i="8"/>
  <c r="S112" i="8"/>
  <c r="T112" i="8"/>
  <c r="N113" i="8"/>
  <c r="O113" i="8"/>
  <c r="P113" i="8"/>
  <c r="Q113" i="8"/>
  <c r="R113" i="8"/>
  <c r="S113" i="8"/>
  <c r="T113" i="8"/>
  <c r="H114" i="8"/>
  <c r="N114" i="8"/>
  <c r="O114" i="8"/>
  <c r="P114" i="8"/>
  <c r="Q114" i="8"/>
  <c r="R114" i="8"/>
  <c r="S114" i="8"/>
  <c r="T114" i="8"/>
  <c r="H115" i="8"/>
  <c r="N115" i="8"/>
  <c r="O115" i="8"/>
  <c r="P115" i="8"/>
  <c r="Q115" i="8"/>
  <c r="R115" i="8"/>
  <c r="S115" i="8"/>
  <c r="T115" i="8"/>
  <c r="H116" i="8"/>
  <c r="N116" i="8"/>
  <c r="O116" i="8"/>
  <c r="P116" i="8"/>
  <c r="Q116" i="8"/>
  <c r="R116" i="8"/>
  <c r="S116" i="8"/>
  <c r="T116" i="8"/>
  <c r="H117" i="8"/>
  <c r="N117" i="8"/>
  <c r="O117" i="8"/>
  <c r="P117" i="8"/>
  <c r="Q117" i="8"/>
  <c r="R117" i="8"/>
  <c r="S117" i="8"/>
  <c r="T117" i="8"/>
  <c r="H118" i="8"/>
  <c r="N118" i="8"/>
  <c r="O118" i="8"/>
  <c r="P118" i="8"/>
  <c r="Q118" i="8"/>
  <c r="R118" i="8"/>
  <c r="S118" i="8"/>
  <c r="T118" i="8"/>
  <c r="H119" i="8"/>
  <c r="N119" i="8"/>
  <c r="O119" i="8"/>
  <c r="P119" i="8"/>
  <c r="Q119" i="8"/>
  <c r="R119" i="8"/>
  <c r="S119" i="8"/>
  <c r="T119" i="8"/>
  <c r="H120" i="8"/>
  <c r="H121" i="8" s="1"/>
  <c r="N120" i="8"/>
  <c r="O120" i="8"/>
  <c r="P120" i="8"/>
  <c r="Q120" i="8"/>
  <c r="R120" i="8"/>
  <c r="S120" i="8"/>
  <c r="T120" i="8"/>
  <c r="N121" i="8"/>
  <c r="O121" i="8"/>
  <c r="P121" i="8"/>
  <c r="Q121" i="8"/>
  <c r="R121" i="8"/>
  <c r="S121" i="8"/>
  <c r="T121" i="8"/>
  <c r="N122" i="8"/>
  <c r="O122" i="8"/>
  <c r="P122" i="8"/>
  <c r="Q122" i="8"/>
  <c r="R122" i="8"/>
  <c r="S122" i="8"/>
  <c r="T122" i="8"/>
  <c r="N124" i="8"/>
  <c r="O124" i="8"/>
  <c r="P124" i="8"/>
  <c r="Q124" i="8"/>
  <c r="R124" i="8"/>
  <c r="S124" i="8"/>
  <c r="T124" i="8"/>
  <c r="N125" i="8"/>
  <c r="O125" i="8"/>
  <c r="P125" i="8"/>
  <c r="Q125" i="8"/>
  <c r="R125" i="8"/>
  <c r="S125" i="8"/>
  <c r="T125" i="8"/>
  <c r="N126" i="8"/>
  <c r="O126" i="8"/>
  <c r="P126" i="8"/>
  <c r="Q126" i="8"/>
  <c r="R126" i="8"/>
  <c r="S126" i="8"/>
  <c r="T126" i="8"/>
  <c r="N127" i="8"/>
  <c r="O127" i="8"/>
  <c r="P127" i="8"/>
  <c r="Q127" i="8"/>
  <c r="R127" i="8"/>
  <c r="S127" i="8"/>
  <c r="T127" i="8"/>
  <c r="N128" i="8"/>
  <c r="O128" i="8"/>
  <c r="P128" i="8"/>
  <c r="Q128" i="8"/>
  <c r="R128" i="8"/>
  <c r="S128" i="8"/>
  <c r="T128" i="8"/>
  <c r="N129" i="8"/>
  <c r="O129" i="8"/>
  <c r="P129" i="8"/>
  <c r="Q129" i="8"/>
  <c r="R129" i="8"/>
  <c r="S129" i="8"/>
  <c r="T129" i="8"/>
  <c r="N130" i="8"/>
  <c r="O130" i="8"/>
  <c r="P130" i="8"/>
  <c r="Q130" i="8"/>
  <c r="R130" i="8"/>
  <c r="S130" i="8"/>
  <c r="T130" i="8"/>
  <c r="N131" i="8"/>
  <c r="O131" i="8"/>
  <c r="P131" i="8"/>
  <c r="Q131" i="8"/>
  <c r="R131" i="8"/>
  <c r="S131" i="8"/>
  <c r="T131" i="8"/>
  <c r="N132" i="8"/>
  <c r="O132" i="8"/>
  <c r="P132" i="8"/>
  <c r="Q132" i="8"/>
  <c r="R132" i="8"/>
  <c r="S132" i="8"/>
  <c r="T132" i="8"/>
  <c r="N133" i="8"/>
  <c r="O133" i="8"/>
  <c r="P133" i="8"/>
  <c r="Q133" i="8"/>
  <c r="R133" i="8"/>
  <c r="S133" i="8"/>
  <c r="T133" i="8"/>
  <c r="N134" i="8"/>
  <c r="O134" i="8"/>
  <c r="P134" i="8"/>
  <c r="Q134" i="8"/>
  <c r="R134" i="8"/>
  <c r="S134" i="8"/>
  <c r="T134" i="8"/>
  <c r="N135" i="8"/>
  <c r="O135" i="8"/>
  <c r="P135" i="8"/>
  <c r="Q135" i="8"/>
  <c r="R135" i="8"/>
  <c r="S135" i="8"/>
  <c r="T135" i="8"/>
  <c r="N136" i="8"/>
  <c r="O136" i="8"/>
  <c r="P136" i="8"/>
  <c r="Q136" i="8"/>
  <c r="R136" i="8"/>
  <c r="S136" i="8"/>
  <c r="T136" i="8"/>
  <c r="N137" i="8"/>
  <c r="O137" i="8"/>
  <c r="P137" i="8"/>
  <c r="Q137" i="8"/>
  <c r="R137" i="8"/>
  <c r="S137" i="8"/>
  <c r="T137" i="8"/>
  <c r="H138" i="8"/>
  <c r="N138" i="8"/>
  <c r="O138" i="8"/>
  <c r="P138" i="8"/>
  <c r="Q138" i="8"/>
  <c r="R138" i="8"/>
  <c r="S138" i="8"/>
  <c r="T138" i="8"/>
  <c r="H139" i="8"/>
  <c r="N139" i="8"/>
  <c r="O139" i="8"/>
  <c r="P139" i="8"/>
  <c r="Q139" i="8"/>
  <c r="R139" i="8"/>
  <c r="S139" i="8"/>
  <c r="T139" i="8"/>
  <c r="H140" i="8"/>
  <c r="N140" i="8"/>
  <c r="O140" i="8"/>
  <c r="P140" i="8"/>
  <c r="Q140" i="8"/>
  <c r="R140" i="8"/>
  <c r="S140" i="8"/>
  <c r="T140" i="8"/>
  <c r="H141" i="8"/>
  <c r="N141" i="8"/>
  <c r="O141" i="8"/>
  <c r="P141" i="8"/>
  <c r="Q141" i="8"/>
  <c r="R141" i="8"/>
  <c r="S141" i="8"/>
  <c r="T141" i="8"/>
  <c r="H142" i="8"/>
  <c r="N142" i="8"/>
  <c r="O142" i="8"/>
  <c r="P142" i="8"/>
  <c r="Q142" i="8"/>
  <c r="R142" i="8"/>
  <c r="S142" i="8"/>
  <c r="T142" i="8"/>
  <c r="H143" i="8"/>
  <c r="N143" i="8"/>
  <c r="O143" i="8"/>
  <c r="P143" i="8"/>
  <c r="Q143" i="8"/>
  <c r="R143" i="8"/>
  <c r="S143" i="8"/>
  <c r="T143" i="8"/>
  <c r="H144" i="8"/>
  <c r="N144" i="8"/>
  <c r="O144" i="8"/>
  <c r="P144" i="8"/>
  <c r="Q144" i="8"/>
  <c r="R144" i="8"/>
  <c r="S144" i="8"/>
  <c r="T144" i="8"/>
  <c r="H145" i="8"/>
  <c r="N145" i="8"/>
  <c r="O145" i="8"/>
  <c r="P145" i="8"/>
  <c r="Q145" i="8"/>
  <c r="R145" i="8"/>
  <c r="S145" i="8"/>
  <c r="T145" i="8"/>
  <c r="H146" i="8"/>
  <c r="H147" i="8" s="1"/>
  <c r="N146" i="8"/>
  <c r="O146" i="8"/>
  <c r="P146" i="8"/>
  <c r="Q146" i="8"/>
  <c r="R146" i="8"/>
  <c r="S146" i="8"/>
  <c r="T146" i="8"/>
  <c r="N148" i="8"/>
  <c r="O148" i="8"/>
  <c r="P148" i="8"/>
  <c r="Q148" i="8"/>
  <c r="R148" i="8"/>
  <c r="S148" i="8"/>
  <c r="T148" i="8"/>
  <c r="N149" i="8"/>
  <c r="O149" i="8"/>
  <c r="P149" i="8"/>
  <c r="Q149" i="8"/>
  <c r="R149" i="8"/>
  <c r="S149" i="8"/>
  <c r="T149" i="8"/>
  <c r="N150" i="8"/>
  <c r="O150" i="8"/>
  <c r="P150" i="8"/>
  <c r="Q150" i="8"/>
  <c r="R150" i="8"/>
  <c r="S150" i="8"/>
  <c r="T150" i="8"/>
  <c r="N151" i="8"/>
  <c r="O151" i="8"/>
  <c r="P151" i="8"/>
  <c r="Q151" i="8"/>
  <c r="R151" i="8"/>
  <c r="S151" i="8"/>
  <c r="T151" i="8"/>
  <c r="N152" i="8"/>
  <c r="O152" i="8"/>
  <c r="P152" i="8"/>
  <c r="Q152" i="8"/>
  <c r="R152" i="8"/>
  <c r="S152" i="8"/>
  <c r="T152" i="8"/>
  <c r="N153" i="8"/>
  <c r="O153" i="8"/>
  <c r="P153" i="8"/>
  <c r="Q153" i="8"/>
  <c r="R153" i="8"/>
  <c r="S153" i="8"/>
  <c r="T153" i="8"/>
  <c r="N154" i="8"/>
  <c r="O154" i="8"/>
  <c r="P154" i="8"/>
  <c r="Q154" i="8"/>
  <c r="R154" i="8"/>
  <c r="S154" i="8"/>
  <c r="T154" i="8"/>
  <c r="N155" i="8"/>
  <c r="O155" i="8"/>
  <c r="P155" i="8"/>
  <c r="Q155" i="8"/>
  <c r="R155" i="8"/>
  <c r="S155" i="8"/>
  <c r="T155" i="8"/>
  <c r="N156" i="8"/>
  <c r="O156" i="8"/>
  <c r="P156" i="8"/>
  <c r="Q156" i="8"/>
  <c r="R156" i="8"/>
  <c r="S156" i="8"/>
  <c r="T156" i="8"/>
  <c r="N157" i="8"/>
  <c r="O157" i="8"/>
  <c r="P157" i="8"/>
  <c r="Q157" i="8"/>
  <c r="R157" i="8"/>
  <c r="S157" i="8"/>
  <c r="T157" i="8"/>
  <c r="N158" i="8"/>
  <c r="O158" i="8"/>
  <c r="P158" i="8"/>
  <c r="Q158" i="8"/>
  <c r="R158" i="8"/>
  <c r="S158" i="8"/>
  <c r="T158" i="8"/>
  <c r="N159" i="8"/>
  <c r="O159" i="8"/>
  <c r="P159" i="8"/>
  <c r="Q159" i="8"/>
  <c r="R159" i="8"/>
  <c r="S159" i="8"/>
  <c r="T159" i="8"/>
  <c r="N160" i="8"/>
  <c r="O160" i="8"/>
  <c r="P160" i="8"/>
  <c r="Q160" i="8"/>
  <c r="R160" i="8"/>
  <c r="S160" i="8"/>
  <c r="T160" i="8"/>
  <c r="H161" i="8"/>
  <c r="N161" i="8"/>
  <c r="O161" i="8"/>
  <c r="P161" i="8"/>
  <c r="Q161" i="8"/>
  <c r="R161" i="8"/>
  <c r="S161" i="8"/>
  <c r="T161" i="8"/>
  <c r="H162" i="8"/>
  <c r="N162" i="8"/>
  <c r="O162" i="8"/>
  <c r="P162" i="8"/>
  <c r="Q162" i="8"/>
  <c r="R162" i="8"/>
  <c r="S162" i="8"/>
  <c r="T162" i="8"/>
  <c r="H163" i="8"/>
  <c r="N163" i="8"/>
  <c r="O163" i="8"/>
  <c r="P163" i="8"/>
  <c r="Q163" i="8"/>
  <c r="R163" i="8"/>
  <c r="S163" i="8"/>
  <c r="T163" i="8"/>
  <c r="H164" i="8"/>
  <c r="N164" i="8"/>
  <c r="O164" i="8"/>
  <c r="P164" i="8"/>
  <c r="Q164" i="8"/>
  <c r="R164" i="8"/>
  <c r="S164" i="8"/>
  <c r="T164" i="8"/>
  <c r="H165" i="8"/>
  <c r="N165" i="8"/>
  <c r="O165" i="8"/>
  <c r="P165" i="8"/>
  <c r="Q165" i="8"/>
  <c r="R165" i="8"/>
  <c r="S165" i="8"/>
  <c r="T165" i="8"/>
  <c r="H166" i="8"/>
  <c r="N166" i="8"/>
  <c r="O166" i="8"/>
  <c r="P166" i="8"/>
  <c r="Q166" i="8"/>
  <c r="R166" i="8"/>
  <c r="S166" i="8"/>
  <c r="T166" i="8"/>
  <c r="H167" i="8"/>
  <c r="N167" i="8"/>
  <c r="O167" i="8"/>
  <c r="P167" i="8"/>
  <c r="Q167" i="8"/>
  <c r="R167" i="8"/>
  <c r="S167" i="8"/>
  <c r="T167" i="8"/>
  <c r="H168" i="8"/>
  <c r="H169" i="8" s="1"/>
  <c r="N168" i="8"/>
  <c r="O168" i="8"/>
  <c r="P168" i="8"/>
  <c r="Q168" i="8"/>
  <c r="R168" i="8"/>
  <c r="S168" i="8"/>
  <c r="T168" i="8"/>
  <c r="N170" i="8"/>
  <c r="O170" i="8"/>
  <c r="P170" i="8"/>
  <c r="Q170" i="8"/>
  <c r="R170" i="8"/>
  <c r="S170" i="8"/>
  <c r="T170" i="8"/>
  <c r="N171" i="8"/>
  <c r="O171" i="8"/>
  <c r="P171" i="8"/>
  <c r="Q171" i="8"/>
  <c r="R171" i="8"/>
  <c r="S171" i="8"/>
  <c r="T171" i="8"/>
  <c r="N172" i="8"/>
  <c r="O172" i="8"/>
  <c r="P172" i="8"/>
  <c r="Q172" i="8"/>
  <c r="R172" i="8"/>
  <c r="S172" i="8"/>
  <c r="T172" i="8"/>
  <c r="N173" i="8"/>
  <c r="O173" i="8"/>
  <c r="P173" i="8"/>
  <c r="Q173" i="8"/>
  <c r="R173" i="8"/>
  <c r="S173" i="8"/>
  <c r="T173" i="8"/>
  <c r="N174" i="8"/>
  <c r="O174" i="8"/>
  <c r="P174" i="8"/>
  <c r="Q174" i="8"/>
  <c r="R174" i="8"/>
  <c r="S174" i="8"/>
  <c r="T174" i="8"/>
  <c r="N175" i="8"/>
  <c r="O175" i="8"/>
  <c r="P175" i="8"/>
  <c r="Q175" i="8"/>
  <c r="R175" i="8"/>
  <c r="S175" i="8"/>
  <c r="T175" i="8"/>
  <c r="N176" i="8"/>
  <c r="O176" i="8"/>
  <c r="P176" i="8"/>
  <c r="Q176" i="8"/>
  <c r="R176" i="8"/>
  <c r="S176" i="8"/>
  <c r="T176" i="8"/>
  <c r="N177" i="8"/>
  <c r="O177" i="8"/>
  <c r="P177" i="8"/>
  <c r="Q177" i="8"/>
  <c r="R177" i="8"/>
  <c r="S177" i="8"/>
  <c r="T177" i="8"/>
  <c r="N178" i="8"/>
  <c r="O178" i="8"/>
  <c r="P178" i="8"/>
  <c r="Q178" i="8"/>
  <c r="R178" i="8"/>
  <c r="S178" i="8"/>
  <c r="T178" i="8"/>
  <c r="N179" i="8"/>
  <c r="O179" i="8"/>
  <c r="P179" i="8"/>
  <c r="Q179" i="8"/>
  <c r="R179" i="8"/>
  <c r="S179" i="8"/>
  <c r="T179" i="8"/>
  <c r="N180" i="8"/>
  <c r="O180" i="8"/>
  <c r="P180" i="8"/>
  <c r="Q180" i="8"/>
  <c r="R180" i="8"/>
  <c r="S180" i="8"/>
  <c r="T180" i="8"/>
  <c r="N181" i="8"/>
  <c r="O181" i="8"/>
  <c r="P181" i="8"/>
  <c r="Q181" i="8"/>
  <c r="R181" i="8"/>
  <c r="S181" i="8"/>
  <c r="T181" i="8"/>
  <c r="H182" i="8"/>
  <c r="N182" i="8"/>
  <c r="O182" i="8"/>
  <c r="P182" i="8"/>
  <c r="Q182" i="8"/>
  <c r="R182" i="8"/>
  <c r="S182" i="8"/>
  <c r="T182" i="8"/>
  <c r="H183" i="8"/>
  <c r="N183" i="8"/>
  <c r="O183" i="8"/>
  <c r="P183" i="8"/>
  <c r="Q183" i="8"/>
  <c r="R183" i="8"/>
  <c r="S183" i="8"/>
  <c r="T183" i="8"/>
  <c r="H184" i="8"/>
  <c r="N184" i="8"/>
  <c r="O184" i="8"/>
  <c r="P184" i="8"/>
  <c r="Q184" i="8"/>
  <c r="R184" i="8"/>
  <c r="S184" i="8"/>
  <c r="T184" i="8"/>
  <c r="H185" i="8"/>
  <c r="N185" i="8"/>
  <c r="O185" i="8"/>
  <c r="P185" i="8"/>
  <c r="Q185" i="8"/>
  <c r="R185" i="8"/>
  <c r="S185" i="8"/>
  <c r="T185" i="8"/>
  <c r="H186" i="8"/>
  <c r="N186" i="8"/>
  <c r="O186" i="8"/>
  <c r="P186" i="8"/>
  <c r="Q186" i="8"/>
  <c r="R186" i="8"/>
  <c r="S186" i="8"/>
  <c r="T186" i="8"/>
  <c r="H187" i="8"/>
  <c r="H188" i="8" s="1"/>
  <c r="N187" i="8"/>
  <c r="O187" i="8"/>
  <c r="P187" i="8"/>
  <c r="Q187" i="8"/>
  <c r="R187" i="8"/>
  <c r="S187" i="8"/>
  <c r="T187" i="8"/>
  <c r="N188" i="8"/>
  <c r="O188" i="8"/>
  <c r="P188" i="8"/>
  <c r="Q188" i="8"/>
  <c r="R188" i="8"/>
  <c r="S188" i="8"/>
  <c r="T188" i="8"/>
  <c r="N189" i="8"/>
  <c r="O189" i="8"/>
  <c r="P189" i="8"/>
  <c r="Q189" i="8"/>
  <c r="R189" i="8"/>
  <c r="S189" i="8"/>
  <c r="T189" i="8"/>
  <c r="N191" i="8"/>
  <c r="O191" i="8"/>
  <c r="P191" i="8"/>
  <c r="Q191" i="8"/>
  <c r="R191" i="8"/>
  <c r="S191" i="8"/>
  <c r="T191" i="8"/>
  <c r="N192" i="8"/>
  <c r="O192" i="8"/>
  <c r="P192" i="8"/>
  <c r="Q192" i="8"/>
  <c r="R192" i="8"/>
  <c r="S192" i="8"/>
  <c r="T192" i="8"/>
  <c r="N193" i="8"/>
  <c r="O193" i="8"/>
  <c r="P193" i="8"/>
  <c r="Q193" i="8"/>
  <c r="R193" i="8"/>
  <c r="S193" i="8"/>
  <c r="T193" i="8"/>
  <c r="N194" i="8"/>
  <c r="O194" i="8"/>
  <c r="P194" i="8"/>
  <c r="Q194" i="8"/>
  <c r="R194" i="8"/>
  <c r="S194" i="8"/>
  <c r="T194" i="8"/>
  <c r="N195" i="8"/>
  <c r="O195" i="8"/>
  <c r="P195" i="8"/>
  <c r="Q195" i="8"/>
  <c r="R195" i="8"/>
  <c r="S195" i="8"/>
  <c r="T195" i="8"/>
  <c r="N196" i="8"/>
  <c r="O196" i="8"/>
  <c r="P196" i="8"/>
  <c r="Q196" i="8"/>
  <c r="R196" i="8"/>
  <c r="S196" i="8"/>
  <c r="T196" i="8"/>
  <c r="N197" i="8"/>
  <c r="O197" i="8"/>
  <c r="P197" i="8"/>
  <c r="Q197" i="8"/>
  <c r="R197" i="8"/>
  <c r="S197" i="8"/>
  <c r="T197" i="8"/>
  <c r="N198" i="8"/>
  <c r="O198" i="8"/>
  <c r="P198" i="8"/>
  <c r="Q198" i="8"/>
  <c r="R198" i="8"/>
  <c r="S198" i="8"/>
  <c r="T198" i="8"/>
  <c r="N199" i="8"/>
  <c r="O199" i="8"/>
  <c r="P199" i="8"/>
  <c r="Q199" i="8"/>
  <c r="R199" i="8"/>
  <c r="S199" i="8"/>
  <c r="T199" i="8"/>
  <c r="N200" i="8"/>
  <c r="O200" i="8"/>
  <c r="P200" i="8"/>
  <c r="Q200" i="8"/>
  <c r="R200" i="8"/>
  <c r="S200" i="8"/>
  <c r="T200" i="8"/>
  <c r="N201" i="8"/>
  <c r="O201" i="8"/>
  <c r="P201" i="8"/>
  <c r="Q201" i="8"/>
  <c r="R201" i="8"/>
  <c r="S201" i="8"/>
  <c r="T201" i="8"/>
  <c r="N202" i="8"/>
  <c r="O202" i="8"/>
  <c r="P202" i="8"/>
  <c r="Q202" i="8"/>
  <c r="R202" i="8"/>
  <c r="S202" i="8"/>
  <c r="T202" i="8"/>
  <c r="N203" i="8"/>
  <c r="O203" i="8"/>
  <c r="P203" i="8"/>
  <c r="Q203" i="8"/>
  <c r="R203" i="8"/>
  <c r="S203" i="8"/>
  <c r="T203" i="8"/>
  <c r="N204" i="8"/>
  <c r="O204" i="8"/>
  <c r="P204" i="8"/>
  <c r="Q204" i="8"/>
  <c r="R204" i="8"/>
  <c r="S204" i="8"/>
  <c r="T204" i="8"/>
  <c r="N205" i="8"/>
  <c r="O205" i="8"/>
  <c r="P205" i="8"/>
  <c r="Q205" i="8"/>
  <c r="R205" i="8"/>
  <c r="S205" i="8"/>
  <c r="T205" i="8"/>
  <c r="N206" i="8"/>
  <c r="O206" i="8"/>
  <c r="P206" i="8"/>
  <c r="Q206" i="8"/>
  <c r="R206" i="8"/>
  <c r="S206" i="8"/>
  <c r="T206" i="8"/>
  <c r="N207" i="8"/>
  <c r="O207" i="8"/>
  <c r="P207" i="8"/>
  <c r="Q207" i="8"/>
  <c r="R207" i="8"/>
  <c r="S207" i="8"/>
  <c r="T207" i="8"/>
  <c r="N208" i="8"/>
  <c r="O208" i="8"/>
  <c r="P208" i="8"/>
  <c r="Q208" i="8"/>
  <c r="R208" i="8"/>
  <c r="S208" i="8"/>
  <c r="T208" i="8"/>
  <c r="N209" i="8"/>
  <c r="O209" i="8"/>
  <c r="P209" i="8"/>
  <c r="Q209" i="8"/>
  <c r="R209" i="8"/>
  <c r="S209" i="8"/>
  <c r="T209" i="8"/>
  <c r="N210" i="8"/>
  <c r="O210" i="8"/>
  <c r="P210" i="8"/>
  <c r="Q210" i="8"/>
  <c r="R210" i="8"/>
  <c r="S210" i="8"/>
  <c r="T210" i="8"/>
  <c r="H211" i="8"/>
  <c r="N211" i="8"/>
  <c r="O211" i="8"/>
  <c r="P211" i="8"/>
  <c r="Q211" i="8"/>
  <c r="R211" i="8"/>
  <c r="S211" i="8"/>
  <c r="T211" i="8"/>
  <c r="H212" i="8"/>
  <c r="N212" i="8"/>
  <c r="O212" i="8"/>
  <c r="P212" i="8"/>
  <c r="Q212" i="8"/>
  <c r="R212" i="8"/>
  <c r="S212" i="8"/>
  <c r="T212" i="8"/>
  <c r="H213" i="8"/>
  <c r="N213" i="8"/>
  <c r="O213" i="8"/>
  <c r="P213" i="8"/>
  <c r="Q213" i="8"/>
  <c r="R213" i="8"/>
  <c r="S213" i="8"/>
  <c r="T213" i="8"/>
  <c r="H214" i="8"/>
  <c r="N214" i="8"/>
  <c r="O214" i="8"/>
  <c r="P214" i="8"/>
  <c r="Q214" i="8"/>
  <c r="R214" i="8"/>
  <c r="S214" i="8"/>
  <c r="T214" i="8"/>
  <c r="H215" i="8"/>
  <c r="N215" i="8"/>
  <c r="O215" i="8"/>
  <c r="P215" i="8"/>
  <c r="Q215" i="8"/>
  <c r="R215" i="8"/>
  <c r="S215" i="8"/>
  <c r="T215" i="8"/>
  <c r="H216" i="8"/>
  <c r="N216" i="8"/>
  <c r="O216" i="8"/>
  <c r="P216" i="8"/>
  <c r="Q216" i="8"/>
  <c r="R216" i="8"/>
  <c r="S216" i="8"/>
  <c r="T216" i="8"/>
  <c r="H217" i="8"/>
  <c r="N217" i="8"/>
  <c r="O217" i="8"/>
  <c r="P217" i="8"/>
  <c r="Q217" i="8"/>
  <c r="R217" i="8"/>
  <c r="S217" i="8"/>
  <c r="T217" i="8"/>
  <c r="N218" i="8"/>
  <c r="O218" i="8"/>
  <c r="P218" i="8"/>
  <c r="Q218" i="8"/>
  <c r="R218" i="8"/>
  <c r="S218" i="8"/>
  <c r="T218" i="8"/>
  <c r="N219" i="8"/>
  <c r="O219" i="8"/>
  <c r="P219" i="8"/>
  <c r="Q219" i="8"/>
  <c r="R219" i="8"/>
  <c r="S219" i="8"/>
  <c r="T219" i="8"/>
  <c r="N221" i="8"/>
  <c r="O221" i="8"/>
  <c r="P221" i="8"/>
  <c r="Q221" i="8"/>
  <c r="R221" i="8"/>
  <c r="S221" i="8"/>
  <c r="T221" i="8"/>
  <c r="N222" i="8"/>
  <c r="O222" i="8"/>
  <c r="P222" i="8"/>
  <c r="Q222" i="8"/>
  <c r="R222" i="8"/>
  <c r="S222" i="8"/>
  <c r="T222" i="8"/>
  <c r="N223" i="8"/>
  <c r="O223" i="8"/>
  <c r="P223" i="8"/>
  <c r="Q223" i="8"/>
  <c r="R223" i="8"/>
  <c r="S223" i="8"/>
  <c r="T223" i="8"/>
  <c r="N224" i="8"/>
  <c r="O224" i="8"/>
  <c r="P224" i="8"/>
  <c r="Q224" i="8"/>
  <c r="R224" i="8"/>
  <c r="S224" i="8"/>
  <c r="T224" i="8"/>
  <c r="N225" i="8"/>
  <c r="O225" i="8"/>
  <c r="P225" i="8"/>
  <c r="Q225" i="8"/>
  <c r="R225" i="8"/>
  <c r="S225" i="8"/>
  <c r="T225" i="8"/>
  <c r="N226" i="8"/>
  <c r="O226" i="8"/>
  <c r="P226" i="8"/>
  <c r="Q226" i="8"/>
  <c r="R226" i="8"/>
  <c r="S226" i="8"/>
  <c r="T226" i="8"/>
  <c r="N227" i="8"/>
  <c r="O227" i="8"/>
  <c r="P227" i="8"/>
  <c r="Q227" i="8"/>
  <c r="R227" i="8"/>
  <c r="S227" i="8"/>
  <c r="T227" i="8"/>
  <c r="N228" i="8"/>
  <c r="O228" i="8"/>
  <c r="P228" i="8"/>
  <c r="Q228" i="8"/>
  <c r="R228" i="8"/>
  <c r="S228" i="8"/>
  <c r="T228" i="8"/>
  <c r="N229" i="8"/>
  <c r="O229" i="8"/>
  <c r="P229" i="8"/>
  <c r="Q229" i="8"/>
  <c r="R229" i="8"/>
  <c r="S229" i="8"/>
  <c r="T229" i="8"/>
  <c r="N230" i="8"/>
  <c r="O230" i="8"/>
  <c r="P230" i="8"/>
  <c r="Q230" i="8"/>
  <c r="R230" i="8"/>
  <c r="S230" i="8"/>
  <c r="T230" i="8"/>
  <c r="N231" i="8"/>
  <c r="O231" i="8"/>
  <c r="P231" i="8"/>
  <c r="Q231" i="8"/>
  <c r="R231" i="8"/>
  <c r="S231" i="8"/>
  <c r="T231" i="8"/>
  <c r="N232" i="8"/>
  <c r="O232" i="8"/>
  <c r="P232" i="8"/>
  <c r="Q232" i="8"/>
  <c r="R232" i="8"/>
  <c r="S232" i="8"/>
  <c r="T232" i="8"/>
  <c r="N233" i="8"/>
  <c r="O233" i="8"/>
  <c r="P233" i="8"/>
  <c r="Q233" i="8"/>
  <c r="R233" i="8"/>
  <c r="S233" i="8"/>
  <c r="T233" i="8"/>
  <c r="N234" i="8"/>
  <c r="O234" i="8"/>
  <c r="P234" i="8"/>
  <c r="Q234" i="8"/>
  <c r="R234" i="8"/>
  <c r="S234" i="8"/>
  <c r="T234" i="8"/>
  <c r="N235" i="8"/>
  <c r="O235" i="8"/>
  <c r="P235" i="8"/>
  <c r="Q235" i="8"/>
  <c r="R235" i="8"/>
  <c r="S235" i="8"/>
  <c r="T235" i="8"/>
  <c r="H236" i="8"/>
  <c r="N236" i="8"/>
  <c r="O236" i="8"/>
  <c r="P236" i="8"/>
  <c r="Q236" i="8"/>
  <c r="R236" i="8"/>
  <c r="S236" i="8"/>
  <c r="T236" i="8"/>
  <c r="H237" i="8"/>
  <c r="N237" i="8"/>
  <c r="O237" i="8"/>
  <c r="P237" i="8"/>
  <c r="Q237" i="8"/>
  <c r="R237" i="8"/>
  <c r="S237" i="8"/>
  <c r="T237" i="8"/>
  <c r="H238" i="8"/>
  <c r="N238" i="8"/>
  <c r="O238" i="8"/>
  <c r="P238" i="8"/>
  <c r="Q238" i="8"/>
  <c r="R238" i="8"/>
  <c r="S238" i="8"/>
  <c r="T238" i="8"/>
  <c r="H239" i="8"/>
  <c r="N239" i="8"/>
  <c r="O239" i="8"/>
  <c r="P239" i="8"/>
  <c r="Q239" i="8"/>
  <c r="R239" i="8"/>
  <c r="S239" i="8"/>
  <c r="T239" i="8"/>
  <c r="H240" i="8"/>
  <c r="N240" i="8"/>
  <c r="O240" i="8"/>
  <c r="P240" i="8"/>
  <c r="Q240" i="8"/>
  <c r="R240" i="8"/>
  <c r="S240" i="8"/>
  <c r="T240" i="8"/>
  <c r="H241" i="8"/>
  <c r="N241" i="8"/>
  <c r="O241" i="8"/>
  <c r="P241" i="8"/>
  <c r="Q241" i="8"/>
  <c r="R241" i="8"/>
  <c r="S241" i="8"/>
  <c r="T241" i="8"/>
  <c r="N242" i="8"/>
  <c r="O242" i="8"/>
  <c r="P242" i="8"/>
  <c r="Q242" i="8"/>
  <c r="R242" i="8"/>
  <c r="S242" i="8"/>
  <c r="T242" i="8"/>
  <c r="N243" i="8"/>
  <c r="O243" i="8"/>
  <c r="P243" i="8"/>
  <c r="Q243" i="8"/>
  <c r="R243" i="8"/>
  <c r="S243" i="8"/>
  <c r="T243" i="8"/>
  <c r="N245" i="8"/>
  <c r="O245" i="8"/>
  <c r="P245" i="8"/>
  <c r="Q245" i="8"/>
  <c r="R245" i="8"/>
  <c r="S245" i="8"/>
  <c r="T245" i="8"/>
  <c r="N246" i="8"/>
  <c r="O246" i="8"/>
  <c r="P246" i="8"/>
  <c r="Q246" i="8"/>
  <c r="R246" i="8"/>
  <c r="S246" i="8"/>
  <c r="T246" i="8"/>
  <c r="N247" i="8"/>
  <c r="O247" i="8"/>
  <c r="P247" i="8"/>
  <c r="Q247" i="8"/>
  <c r="R247" i="8"/>
  <c r="S247" i="8"/>
  <c r="T247" i="8"/>
  <c r="N248" i="8"/>
  <c r="O248" i="8"/>
  <c r="P248" i="8"/>
  <c r="Q248" i="8"/>
  <c r="R248" i="8"/>
  <c r="S248" i="8"/>
  <c r="T248" i="8"/>
  <c r="N249" i="8"/>
  <c r="O249" i="8"/>
  <c r="P249" i="8"/>
  <c r="Q249" i="8"/>
  <c r="R249" i="8"/>
  <c r="S249" i="8"/>
  <c r="T249" i="8"/>
  <c r="N250" i="8"/>
  <c r="O250" i="8"/>
  <c r="P250" i="8"/>
  <c r="Q250" i="8"/>
  <c r="R250" i="8"/>
  <c r="S250" i="8"/>
  <c r="T250" i="8"/>
  <c r="N251" i="8"/>
  <c r="O251" i="8"/>
  <c r="P251" i="8"/>
  <c r="Q251" i="8"/>
  <c r="R251" i="8"/>
  <c r="S251" i="8"/>
  <c r="T251" i="8"/>
  <c r="N252" i="8"/>
  <c r="O252" i="8"/>
  <c r="P252" i="8"/>
  <c r="Q252" i="8"/>
  <c r="R252" i="8"/>
  <c r="S252" i="8"/>
  <c r="T252" i="8"/>
  <c r="N253" i="8"/>
  <c r="O253" i="8"/>
  <c r="P253" i="8"/>
  <c r="Q253" i="8"/>
  <c r="R253" i="8"/>
  <c r="S253" i="8"/>
  <c r="T253" i="8"/>
  <c r="N254" i="8"/>
  <c r="O254" i="8"/>
  <c r="P254" i="8"/>
  <c r="Q254" i="8"/>
  <c r="R254" i="8"/>
  <c r="S254" i="8"/>
  <c r="T254" i="8"/>
  <c r="N255" i="8"/>
  <c r="O255" i="8"/>
  <c r="P255" i="8"/>
  <c r="Q255" i="8"/>
  <c r="R255" i="8"/>
  <c r="S255" i="8"/>
  <c r="T255" i="8"/>
  <c r="N256" i="8"/>
  <c r="O256" i="8"/>
  <c r="P256" i="8"/>
  <c r="Q256" i="8"/>
  <c r="R256" i="8"/>
  <c r="S256" i="8"/>
  <c r="T256" i="8"/>
  <c r="N257" i="8"/>
  <c r="O257" i="8"/>
  <c r="P257" i="8"/>
  <c r="Q257" i="8"/>
  <c r="R257" i="8"/>
  <c r="S257" i="8"/>
  <c r="T257" i="8"/>
  <c r="N258" i="8"/>
  <c r="O258" i="8"/>
  <c r="P258" i="8"/>
  <c r="Q258" i="8"/>
  <c r="R258" i="8"/>
  <c r="S258" i="8"/>
  <c r="T258" i="8"/>
  <c r="N259" i="8"/>
  <c r="O259" i="8"/>
  <c r="P259" i="8"/>
  <c r="Q259" i="8"/>
  <c r="R259" i="8"/>
  <c r="S259" i="8"/>
  <c r="T259" i="8"/>
  <c r="N260" i="8"/>
  <c r="O260" i="8"/>
  <c r="P260" i="8"/>
  <c r="Q260" i="8"/>
  <c r="R260" i="8"/>
  <c r="S260" i="8"/>
  <c r="T260" i="8"/>
  <c r="N261" i="8"/>
  <c r="O261" i="8"/>
  <c r="P261" i="8"/>
  <c r="Q261" i="8"/>
  <c r="R261" i="8"/>
  <c r="S261" i="8"/>
  <c r="T261" i="8"/>
  <c r="N262" i="8"/>
  <c r="O262" i="8"/>
  <c r="P262" i="8"/>
  <c r="Q262" i="8"/>
  <c r="R262" i="8"/>
  <c r="S262" i="8"/>
  <c r="T262" i="8"/>
  <c r="H263" i="8"/>
  <c r="N263" i="8"/>
  <c r="O263" i="8"/>
  <c r="P263" i="8"/>
  <c r="Q263" i="8"/>
  <c r="R263" i="8"/>
  <c r="S263" i="8"/>
  <c r="T263" i="8"/>
  <c r="H264" i="8"/>
  <c r="N264" i="8"/>
  <c r="O264" i="8"/>
  <c r="P264" i="8"/>
  <c r="Q264" i="8"/>
  <c r="R264" i="8"/>
  <c r="S264" i="8"/>
  <c r="T264" i="8"/>
  <c r="H265" i="8"/>
  <c r="N265" i="8"/>
  <c r="O265" i="8"/>
  <c r="P265" i="8"/>
  <c r="Q265" i="8"/>
  <c r="R265" i="8"/>
  <c r="S265" i="8"/>
  <c r="T265" i="8"/>
  <c r="H266" i="8"/>
  <c r="N266" i="8"/>
  <c r="O266" i="8"/>
  <c r="P266" i="8"/>
  <c r="Q266" i="8"/>
  <c r="R266" i="8"/>
  <c r="S266" i="8"/>
  <c r="T266" i="8"/>
  <c r="H267" i="8"/>
  <c r="N267" i="8"/>
  <c r="O267" i="8"/>
  <c r="P267" i="8"/>
  <c r="Q267" i="8"/>
  <c r="R267" i="8"/>
  <c r="S267" i="8"/>
  <c r="T267" i="8"/>
  <c r="H268" i="8"/>
  <c r="N268" i="8"/>
  <c r="O268" i="8"/>
  <c r="P268" i="8"/>
  <c r="Q268" i="8"/>
  <c r="R268" i="8"/>
  <c r="S268" i="8"/>
  <c r="T268" i="8"/>
  <c r="H269" i="8"/>
  <c r="N269" i="8"/>
  <c r="O269" i="8"/>
  <c r="P269" i="8"/>
  <c r="Q269" i="8"/>
  <c r="R269" i="8"/>
  <c r="S269" i="8"/>
  <c r="T269" i="8"/>
  <c r="H270" i="8"/>
  <c r="H271" i="8" s="1"/>
  <c r="N270" i="8"/>
  <c r="O270" i="8"/>
  <c r="P270" i="8"/>
  <c r="Q270" i="8"/>
  <c r="R270" i="8"/>
  <c r="S270" i="8"/>
  <c r="T270" i="8"/>
  <c r="N272" i="8"/>
  <c r="O272" i="8"/>
  <c r="P272" i="8"/>
  <c r="Q272" i="8"/>
  <c r="R272" i="8"/>
  <c r="S272" i="8"/>
  <c r="T272" i="8"/>
  <c r="N273" i="8"/>
  <c r="O273" i="8"/>
  <c r="P273" i="8"/>
  <c r="Q273" i="8"/>
  <c r="R273" i="8"/>
  <c r="S273" i="8"/>
  <c r="T273" i="8"/>
  <c r="N274" i="8"/>
  <c r="O274" i="8"/>
  <c r="P274" i="8"/>
  <c r="Q274" i="8"/>
  <c r="R274" i="8"/>
  <c r="S274" i="8"/>
  <c r="T274" i="8"/>
  <c r="N277" i="8"/>
  <c r="O277" i="8"/>
  <c r="P277" i="8"/>
  <c r="Q277" i="8"/>
  <c r="R277" i="8"/>
  <c r="S277" i="8"/>
  <c r="T277" i="8"/>
  <c r="N278" i="8"/>
  <c r="O278" i="8"/>
  <c r="P278" i="8"/>
  <c r="Q278" i="8"/>
  <c r="R278" i="8"/>
  <c r="S278" i="8"/>
  <c r="T278" i="8"/>
  <c r="N279" i="8"/>
  <c r="O279" i="8"/>
  <c r="P279" i="8"/>
  <c r="Q279" i="8"/>
  <c r="R279" i="8"/>
  <c r="S279" i="8"/>
  <c r="T279" i="8"/>
  <c r="N280" i="8"/>
  <c r="O280" i="8"/>
  <c r="P280" i="8"/>
  <c r="Q280" i="8"/>
  <c r="R280" i="8"/>
  <c r="S280" i="8"/>
  <c r="T280" i="8"/>
  <c r="N281" i="8"/>
  <c r="O281" i="8"/>
  <c r="P281" i="8"/>
  <c r="Q281" i="8"/>
  <c r="R281" i="8"/>
  <c r="S281" i="8"/>
  <c r="T281" i="8"/>
  <c r="H287" i="8"/>
  <c r="N287" i="8"/>
  <c r="O287" i="8"/>
  <c r="P287" i="8"/>
  <c r="Q287" i="8"/>
  <c r="R287" i="8"/>
  <c r="S287" i="8"/>
  <c r="T287" i="8"/>
  <c r="H288" i="8"/>
  <c r="N288" i="8"/>
  <c r="O288" i="8"/>
  <c r="P288" i="8"/>
  <c r="Q288" i="8"/>
  <c r="R288" i="8"/>
  <c r="S288" i="8"/>
  <c r="T288" i="8"/>
  <c r="H289" i="8"/>
  <c r="N289" i="8"/>
  <c r="O289" i="8"/>
  <c r="P289" i="8"/>
  <c r="Q289" i="8"/>
  <c r="R289" i="8"/>
  <c r="S289" i="8"/>
  <c r="T289" i="8"/>
  <c r="H290" i="8"/>
  <c r="N290" i="8"/>
  <c r="O290" i="8"/>
  <c r="P290" i="8"/>
  <c r="Q290" i="8"/>
  <c r="R290" i="8"/>
  <c r="S290" i="8"/>
  <c r="T290" i="8"/>
  <c r="H291" i="8"/>
  <c r="N291" i="8"/>
  <c r="O291" i="8"/>
  <c r="P291" i="8"/>
  <c r="Q291" i="8"/>
  <c r="R291" i="8"/>
  <c r="S291" i="8"/>
  <c r="T291" i="8"/>
  <c r="H292" i="8"/>
  <c r="H293" i="8" s="1"/>
  <c r="N292" i="8"/>
  <c r="O292" i="8"/>
  <c r="P292" i="8"/>
  <c r="Q292" i="8"/>
  <c r="R292" i="8"/>
  <c r="S292" i="8"/>
  <c r="T292" i="8"/>
  <c r="N293" i="8"/>
  <c r="O293" i="8"/>
  <c r="P293" i="8"/>
  <c r="Q293" i="8"/>
  <c r="R293" i="8"/>
  <c r="S293" i="8"/>
  <c r="T293" i="8"/>
  <c r="N294" i="8"/>
  <c r="O294" i="8"/>
  <c r="P294" i="8"/>
  <c r="Q294" i="8"/>
  <c r="R294" i="8"/>
  <c r="S294" i="8"/>
  <c r="T294" i="8"/>
  <c r="N296" i="8"/>
  <c r="O296" i="8"/>
  <c r="P296" i="8"/>
  <c r="Q296" i="8"/>
  <c r="R296" i="8"/>
  <c r="S296" i="8"/>
  <c r="T296" i="8"/>
  <c r="N298" i="8"/>
  <c r="O298" i="8"/>
  <c r="P298" i="8"/>
  <c r="Q298" i="8"/>
  <c r="R298" i="8"/>
  <c r="S298" i="8"/>
  <c r="T298" i="8"/>
  <c r="N300" i="8"/>
  <c r="O300" i="8"/>
  <c r="P300" i="8"/>
  <c r="Q300" i="8"/>
  <c r="R300" i="8"/>
  <c r="S300" i="8"/>
  <c r="T300" i="8"/>
  <c r="N301" i="8"/>
  <c r="O301" i="8"/>
  <c r="P301" i="8"/>
  <c r="Q301" i="8"/>
  <c r="R301" i="8"/>
  <c r="S301" i="8"/>
  <c r="T301" i="8"/>
  <c r="N302" i="8"/>
  <c r="O302" i="8"/>
  <c r="P302" i="8"/>
  <c r="Q302" i="8"/>
  <c r="R302" i="8"/>
  <c r="S302" i="8"/>
  <c r="T302" i="8"/>
  <c r="N303" i="8"/>
  <c r="O303" i="8"/>
  <c r="P303" i="8"/>
  <c r="Q303" i="8"/>
  <c r="R303" i="8"/>
  <c r="S303" i="8"/>
  <c r="T303" i="8"/>
  <c r="N304" i="8"/>
  <c r="O304" i="8"/>
  <c r="P304" i="8"/>
  <c r="Q304" i="8"/>
  <c r="R304" i="8"/>
  <c r="S304" i="8"/>
  <c r="T304" i="8"/>
  <c r="N305" i="8"/>
  <c r="O305" i="8"/>
  <c r="P305" i="8"/>
  <c r="Q305" i="8"/>
  <c r="R305" i="8"/>
  <c r="S305" i="8"/>
  <c r="T305" i="8"/>
  <c r="N306" i="8"/>
  <c r="O306" i="8"/>
  <c r="P306" i="8"/>
  <c r="Q306" i="8"/>
  <c r="R306" i="8"/>
  <c r="S306" i="8"/>
  <c r="T306" i="8"/>
  <c r="N307" i="8"/>
  <c r="O307" i="8"/>
  <c r="P307" i="8"/>
  <c r="Q307" i="8"/>
  <c r="R307" i="8"/>
  <c r="S307" i="8"/>
  <c r="T307" i="8"/>
  <c r="N308" i="8"/>
  <c r="O308" i="8"/>
  <c r="P308" i="8"/>
  <c r="Q308" i="8"/>
  <c r="R308" i="8"/>
  <c r="S308" i="8"/>
  <c r="T308" i="8"/>
  <c r="N309" i="8"/>
  <c r="O309" i="8"/>
  <c r="P309" i="8"/>
  <c r="Q309" i="8"/>
  <c r="R309" i="8"/>
  <c r="S309" i="8"/>
  <c r="T309" i="8"/>
  <c r="H310" i="8"/>
  <c r="N310" i="8"/>
  <c r="O310" i="8"/>
  <c r="P310" i="8"/>
  <c r="Q310" i="8"/>
  <c r="R310" i="8"/>
  <c r="S310" i="8"/>
  <c r="T310" i="8"/>
  <c r="H311" i="8"/>
  <c r="N311" i="8"/>
  <c r="O311" i="8"/>
  <c r="P311" i="8"/>
  <c r="Q311" i="8"/>
  <c r="R311" i="8"/>
  <c r="S311" i="8"/>
  <c r="T311" i="8"/>
  <c r="H312" i="8"/>
  <c r="N312" i="8"/>
  <c r="O312" i="8"/>
  <c r="P312" i="8"/>
  <c r="Q312" i="8"/>
  <c r="R312" i="8"/>
  <c r="S312" i="8"/>
  <c r="T312" i="8"/>
  <c r="H313" i="8"/>
  <c r="N313" i="8"/>
  <c r="O313" i="8"/>
  <c r="P313" i="8"/>
  <c r="Q313" i="8"/>
  <c r="R313" i="8"/>
  <c r="S313" i="8"/>
  <c r="T313" i="8"/>
  <c r="H314" i="8"/>
  <c r="N314" i="8"/>
  <c r="O314" i="8"/>
  <c r="P314" i="8"/>
  <c r="Q314" i="8"/>
  <c r="R314" i="8"/>
  <c r="S314" i="8"/>
  <c r="T314" i="8"/>
  <c r="H315" i="8"/>
  <c r="N315" i="8"/>
  <c r="O315" i="8"/>
  <c r="P315" i="8"/>
  <c r="Q315" i="8"/>
  <c r="R315" i="8"/>
  <c r="S315" i="8"/>
  <c r="T315" i="8"/>
  <c r="N316" i="8"/>
  <c r="O316" i="8"/>
  <c r="P316" i="8"/>
  <c r="Q316" i="8"/>
  <c r="R316" i="8"/>
  <c r="S316" i="8"/>
  <c r="T316" i="8"/>
  <c r="N317" i="8"/>
  <c r="O317" i="8"/>
  <c r="P317" i="8"/>
  <c r="Q317" i="8"/>
  <c r="R317" i="8"/>
  <c r="S317" i="8"/>
  <c r="T317" i="8"/>
  <c r="N320" i="8"/>
  <c r="O320" i="8"/>
  <c r="P320" i="8"/>
  <c r="Q320" i="8"/>
  <c r="R320" i="8"/>
  <c r="S320" i="8"/>
  <c r="T320" i="8"/>
  <c r="N321" i="8"/>
  <c r="O321" i="8"/>
  <c r="P321" i="8"/>
  <c r="Q321" i="8"/>
  <c r="R321" i="8"/>
  <c r="S321" i="8"/>
  <c r="T321" i="8"/>
  <c r="N322" i="8"/>
  <c r="O322" i="8"/>
  <c r="P322" i="8"/>
  <c r="Q322" i="8"/>
  <c r="R322" i="8"/>
  <c r="S322" i="8"/>
  <c r="T322" i="8"/>
  <c r="N323" i="8"/>
  <c r="O323" i="8"/>
  <c r="P323" i="8"/>
  <c r="Q323" i="8"/>
  <c r="R323" i="8"/>
  <c r="S323" i="8"/>
  <c r="T323" i="8"/>
  <c r="N324" i="8"/>
  <c r="O324" i="8"/>
  <c r="P324" i="8"/>
  <c r="Q324" i="8"/>
  <c r="R324" i="8"/>
  <c r="S324" i="8"/>
  <c r="T324" i="8"/>
  <c r="N325" i="8"/>
  <c r="O325" i="8"/>
  <c r="P325" i="8"/>
  <c r="Q325" i="8"/>
  <c r="R325" i="8"/>
  <c r="S325" i="8"/>
  <c r="T325" i="8"/>
  <c r="N326" i="8"/>
  <c r="O326" i="8"/>
  <c r="P326" i="8"/>
  <c r="Q326" i="8"/>
  <c r="R326" i="8"/>
  <c r="S326" i="8"/>
  <c r="T326" i="8"/>
  <c r="N327" i="8"/>
  <c r="O327" i="8"/>
  <c r="P327" i="8"/>
  <c r="Q327" i="8"/>
  <c r="R327" i="8"/>
  <c r="S327" i="8"/>
  <c r="T327" i="8"/>
  <c r="N328" i="8"/>
  <c r="O328" i="8"/>
  <c r="P328" i="8"/>
  <c r="Q328" i="8"/>
  <c r="R328" i="8"/>
  <c r="S328" i="8"/>
  <c r="T328" i="8"/>
  <c r="N329" i="8"/>
  <c r="O329" i="8"/>
  <c r="P329" i="8"/>
  <c r="Q329" i="8"/>
  <c r="R329" i="8"/>
  <c r="S329" i="8"/>
  <c r="T329" i="8"/>
  <c r="N330" i="8"/>
  <c r="O330" i="8"/>
  <c r="P330" i="8"/>
  <c r="Q330" i="8"/>
  <c r="R330" i="8"/>
  <c r="S330" i="8"/>
  <c r="T330" i="8"/>
  <c r="N331" i="8"/>
  <c r="O331" i="8"/>
  <c r="P331" i="8"/>
  <c r="Q331" i="8"/>
  <c r="R331" i="8"/>
  <c r="S331" i="8"/>
  <c r="T331" i="8"/>
  <c r="N333" i="8"/>
  <c r="O333" i="8"/>
  <c r="P333" i="8"/>
  <c r="Q333" i="8"/>
  <c r="R333" i="8"/>
  <c r="S333" i="8"/>
  <c r="T333" i="8"/>
  <c r="H334" i="8"/>
  <c r="H336" i="8"/>
  <c r="H337" i="8"/>
  <c r="H338" i="8"/>
  <c r="H339" i="8"/>
  <c r="N345" i="8"/>
  <c r="O345" i="8"/>
  <c r="P345" i="8"/>
  <c r="Q345" i="8"/>
  <c r="R345" i="8"/>
  <c r="S345" i="8"/>
  <c r="T345" i="8"/>
  <c r="N346" i="8"/>
  <c r="O346" i="8"/>
  <c r="P346" i="8"/>
  <c r="Q346" i="8"/>
  <c r="R346" i="8"/>
  <c r="S346" i="8"/>
  <c r="T346" i="8"/>
  <c r="N347" i="8"/>
  <c r="O347" i="8"/>
  <c r="P347" i="8"/>
  <c r="Q347" i="8"/>
  <c r="R347" i="8"/>
  <c r="S347" i="8"/>
  <c r="T347" i="8"/>
  <c r="N348" i="8"/>
  <c r="O348" i="8"/>
  <c r="P348" i="8"/>
  <c r="Q348" i="8"/>
  <c r="R348" i="8"/>
  <c r="S348" i="8"/>
  <c r="T348" i="8"/>
  <c r="N349" i="8"/>
  <c r="O349" i="8"/>
  <c r="P349" i="8"/>
  <c r="Q349" i="8"/>
  <c r="R349" i="8"/>
  <c r="S349" i="8"/>
  <c r="T349" i="8"/>
  <c r="N350" i="8"/>
  <c r="O350" i="8"/>
  <c r="P350" i="8"/>
  <c r="Q350" i="8"/>
  <c r="R350" i="8"/>
  <c r="S350" i="8"/>
  <c r="T350" i="8"/>
  <c r="N351" i="8"/>
  <c r="O351" i="8"/>
  <c r="P351" i="8"/>
  <c r="Q351" i="8"/>
  <c r="R351" i="8"/>
  <c r="S351" i="8"/>
  <c r="T351" i="8"/>
  <c r="N352" i="8"/>
  <c r="O352" i="8"/>
  <c r="P352" i="8"/>
  <c r="Q352" i="8"/>
  <c r="R352" i="8"/>
  <c r="S352" i="8"/>
  <c r="T352" i="8"/>
  <c r="N353" i="8"/>
  <c r="O353" i="8"/>
  <c r="P353" i="8"/>
  <c r="Q353" i="8"/>
  <c r="R353" i="8"/>
  <c r="S353" i="8"/>
  <c r="T353" i="8"/>
  <c r="N354" i="8"/>
  <c r="O354" i="8"/>
  <c r="P354" i="8"/>
  <c r="Q354" i="8"/>
  <c r="R354" i="8"/>
  <c r="S354" i="8"/>
  <c r="T354" i="8"/>
  <c r="N355" i="8"/>
  <c r="O355" i="8"/>
  <c r="P355" i="8"/>
  <c r="Q355" i="8"/>
  <c r="R355" i="8"/>
  <c r="S355" i="8"/>
  <c r="T355" i="8"/>
  <c r="N356" i="8"/>
  <c r="O356" i="8"/>
  <c r="P356" i="8"/>
  <c r="Q356" i="8"/>
  <c r="R356" i="8"/>
  <c r="S356" i="8"/>
  <c r="T356" i="8"/>
  <c r="H357" i="8"/>
  <c r="H360" i="8"/>
  <c r="H361" i="8"/>
  <c r="H362" i="8"/>
  <c r="H363" i="8"/>
  <c r="N367" i="8"/>
  <c r="O367" i="8"/>
  <c r="P367" i="8"/>
  <c r="Q367" i="8"/>
  <c r="R367" i="8"/>
  <c r="S367" i="8"/>
  <c r="T367" i="8"/>
  <c r="N368" i="8"/>
  <c r="O368" i="8"/>
  <c r="P368" i="8"/>
  <c r="Q368" i="8"/>
  <c r="R368" i="8"/>
  <c r="S368" i="8"/>
  <c r="T368" i="8"/>
  <c r="N369" i="8"/>
  <c r="O369" i="8"/>
  <c r="P369" i="8"/>
  <c r="Q369" i="8"/>
  <c r="R369" i="8"/>
  <c r="S369" i="8"/>
  <c r="T369" i="8"/>
  <c r="N370" i="8"/>
  <c r="O370" i="8"/>
  <c r="P370" i="8"/>
  <c r="Q370" i="8"/>
  <c r="R370" i="8"/>
  <c r="S370" i="8"/>
  <c r="T370" i="8"/>
  <c r="N371" i="8"/>
  <c r="O371" i="8"/>
  <c r="P371" i="8"/>
  <c r="Q371" i="8"/>
  <c r="R371" i="8"/>
  <c r="S371" i="8"/>
  <c r="T371" i="8"/>
  <c r="N372" i="8"/>
  <c r="O372" i="8"/>
  <c r="P372" i="8"/>
  <c r="Q372" i="8"/>
  <c r="R372" i="8"/>
  <c r="S372" i="8"/>
  <c r="T372" i="8"/>
  <c r="N373" i="8"/>
  <c r="O373" i="8"/>
  <c r="P373" i="8"/>
  <c r="Q373" i="8"/>
  <c r="R373" i="8"/>
  <c r="S373" i="8"/>
  <c r="T373" i="8"/>
  <c r="N374" i="8"/>
  <c r="O374" i="8"/>
  <c r="P374" i="8"/>
  <c r="Q374" i="8"/>
  <c r="R374" i="8"/>
  <c r="S374" i="8"/>
  <c r="T374" i="8"/>
  <c r="N375" i="8"/>
  <c r="O375" i="8"/>
  <c r="P375" i="8"/>
  <c r="Q375" i="8"/>
  <c r="R375" i="8"/>
  <c r="S375" i="8"/>
  <c r="T375" i="8"/>
  <c r="N376" i="8"/>
  <c r="O376" i="8"/>
  <c r="P376" i="8"/>
  <c r="Q376" i="8"/>
  <c r="R376" i="8"/>
  <c r="S376" i="8"/>
  <c r="T376" i="8"/>
  <c r="N377" i="8"/>
  <c r="O377" i="8"/>
  <c r="P377" i="8"/>
  <c r="Q377" i="8"/>
  <c r="R377" i="8"/>
  <c r="S377" i="8"/>
  <c r="T377" i="8"/>
  <c r="N378" i="8"/>
  <c r="O378" i="8"/>
  <c r="P378" i="8"/>
  <c r="Q378" i="8"/>
  <c r="R378" i="8"/>
  <c r="S378" i="8"/>
  <c r="T378" i="8"/>
  <c r="N379" i="8"/>
  <c r="O379" i="8"/>
  <c r="P379" i="8"/>
  <c r="Q379" i="8"/>
  <c r="R379" i="8"/>
  <c r="S379" i="8"/>
  <c r="T379" i="8"/>
  <c r="N380" i="8"/>
  <c r="O380" i="8"/>
  <c r="P380" i="8"/>
  <c r="Q380" i="8"/>
  <c r="R380" i="8"/>
  <c r="S380" i="8"/>
  <c r="T380" i="8"/>
  <c r="N381" i="8"/>
  <c r="O381" i="8"/>
  <c r="P381" i="8"/>
  <c r="Q381" i="8"/>
  <c r="R381" i="8"/>
  <c r="S381" i="8"/>
  <c r="T381" i="8"/>
  <c r="N382" i="8"/>
  <c r="O382" i="8"/>
  <c r="P382" i="8"/>
  <c r="Q382" i="8"/>
  <c r="R382" i="8"/>
  <c r="S382" i="8"/>
  <c r="T382" i="8"/>
  <c r="N383" i="8"/>
  <c r="O383" i="8"/>
  <c r="P383" i="8"/>
  <c r="Q383" i="8"/>
  <c r="R383" i="8"/>
  <c r="S383" i="8"/>
  <c r="T383" i="8"/>
  <c r="N384" i="8"/>
  <c r="O384" i="8"/>
  <c r="P384" i="8"/>
  <c r="Q384" i="8"/>
  <c r="R384" i="8"/>
  <c r="S384" i="8"/>
  <c r="T384" i="8"/>
  <c r="N385" i="8"/>
  <c r="O385" i="8"/>
  <c r="P385" i="8"/>
  <c r="Q385" i="8"/>
  <c r="R385" i="8"/>
  <c r="S385" i="8"/>
  <c r="T385" i="8"/>
  <c r="N386" i="8"/>
  <c r="O386" i="8"/>
  <c r="P386" i="8"/>
  <c r="Q386" i="8"/>
  <c r="R386" i="8"/>
  <c r="S386" i="8"/>
  <c r="T386" i="8"/>
  <c r="H389" i="8"/>
  <c r="H390" i="8"/>
  <c r="H391" i="8"/>
  <c r="H392" i="8"/>
  <c r="H393" i="8"/>
  <c r="H394" i="8"/>
  <c r="H395" i="8"/>
  <c r="H396" i="8"/>
  <c r="N399" i="8"/>
  <c r="O399" i="8"/>
  <c r="P399" i="8"/>
  <c r="Q399" i="8"/>
  <c r="R399" i="8"/>
  <c r="S399" i="8"/>
  <c r="T399" i="8"/>
  <c r="N400" i="8"/>
  <c r="O400" i="8"/>
  <c r="P400" i="8"/>
  <c r="Q400" i="8"/>
  <c r="R400" i="8"/>
  <c r="S400" i="8"/>
  <c r="T400" i="8"/>
  <c r="N401" i="8"/>
  <c r="O401" i="8"/>
  <c r="P401" i="8"/>
  <c r="Q401" i="8"/>
  <c r="R401" i="8"/>
  <c r="S401" i="8"/>
  <c r="T401" i="8"/>
  <c r="N402" i="8"/>
  <c r="O402" i="8"/>
  <c r="P402" i="8"/>
  <c r="Q402" i="8"/>
  <c r="R402" i="8"/>
  <c r="S402" i="8"/>
  <c r="T402" i="8"/>
  <c r="N403" i="8"/>
  <c r="O403" i="8"/>
  <c r="P403" i="8"/>
  <c r="Q403" i="8"/>
  <c r="R403" i="8"/>
  <c r="S403" i="8"/>
  <c r="T403" i="8"/>
  <c r="N404" i="8"/>
  <c r="O404" i="8"/>
  <c r="P404" i="8"/>
  <c r="Q404" i="8"/>
  <c r="R404" i="8"/>
  <c r="S404" i="8"/>
  <c r="T404" i="8"/>
  <c r="N405" i="8"/>
  <c r="O405" i="8"/>
  <c r="P405" i="8"/>
  <c r="Q405" i="8"/>
  <c r="R405" i="8"/>
  <c r="S405" i="8"/>
  <c r="T405" i="8"/>
  <c r="N406" i="8"/>
  <c r="O406" i="8"/>
  <c r="P406" i="8"/>
  <c r="Q406" i="8"/>
  <c r="R406" i="8"/>
  <c r="S406" i="8"/>
  <c r="T406" i="8"/>
  <c r="N407" i="8"/>
  <c r="O407" i="8"/>
  <c r="P407" i="8"/>
  <c r="Q407" i="8"/>
  <c r="R407" i="8"/>
  <c r="S407" i="8"/>
  <c r="T407" i="8"/>
  <c r="N408" i="8"/>
  <c r="O408" i="8"/>
  <c r="P408" i="8"/>
  <c r="Q408" i="8"/>
  <c r="R408" i="8"/>
  <c r="S408" i="8"/>
  <c r="T408" i="8"/>
  <c r="N409" i="8"/>
  <c r="O409" i="8"/>
  <c r="P409" i="8"/>
  <c r="Q409" i="8"/>
  <c r="R409" i="8"/>
  <c r="S409" i="8"/>
  <c r="T409" i="8"/>
  <c r="N410" i="8"/>
  <c r="O410" i="8"/>
  <c r="P410" i="8"/>
  <c r="Q410" i="8"/>
  <c r="R410" i="8"/>
  <c r="S410" i="8"/>
  <c r="T410" i="8"/>
  <c r="N411" i="8"/>
  <c r="O411" i="8"/>
  <c r="P411" i="8"/>
  <c r="Q411" i="8"/>
  <c r="R411" i="8"/>
  <c r="S411" i="8"/>
  <c r="T411" i="8"/>
  <c r="N412" i="8"/>
  <c r="O412" i="8"/>
  <c r="P412" i="8"/>
  <c r="Q412" i="8"/>
  <c r="R412" i="8"/>
  <c r="S412" i="8"/>
  <c r="T412" i="8"/>
  <c r="N413" i="8"/>
  <c r="O413" i="8"/>
  <c r="P413" i="8"/>
  <c r="Q413" i="8"/>
  <c r="R413" i="8"/>
  <c r="S413" i="8"/>
  <c r="T413" i="8"/>
  <c r="N414" i="8"/>
  <c r="O414" i="8"/>
  <c r="P414" i="8"/>
  <c r="Q414" i="8"/>
  <c r="R414" i="8"/>
  <c r="S414" i="8"/>
  <c r="T414" i="8"/>
  <c r="N415" i="8"/>
  <c r="O415" i="8"/>
  <c r="P415" i="8"/>
  <c r="Q415" i="8"/>
  <c r="R415" i="8"/>
  <c r="S415" i="8"/>
  <c r="T415" i="8"/>
  <c r="N416" i="8"/>
  <c r="O416" i="8"/>
  <c r="P416" i="8"/>
  <c r="Q416" i="8"/>
  <c r="R416" i="8"/>
  <c r="S416" i="8"/>
  <c r="T416" i="8"/>
  <c r="N417" i="8"/>
  <c r="O417" i="8"/>
  <c r="P417" i="8"/>
  <c r="Q417" i="8"/>
  <c r="R417" i="8"/>
  <c r="S417" i="8"/>
  <c r="T417" i="8"/>
  <c r="N418" i="8"/>
  <c r="O418" i="8"/>
  <c r="P418" i="8"/>
  <c r="Q418" i="8"/>
  <c r="R418" i="8"/>
  <c r="S418" i="8"/>
  <c r="T418" i="8"/>
  <c r="H421" i="8"/>
  <c r="H422" i="8"/>
  <c r="H423" i="8"/>
  <c r="H424" i="8"/>
  <c r="H425" i="8"/>
  <c r="H426" i="8"/>
  <c r="H427" i="8"/>
  <c r="H428" i="8"/>
  <c r="N431" i="8"/>
  <c r="O431" i="8"/>
  <c r="P431" i="8"/>
  <c r="Q431" i="8"/>
  <c r="R431" i="8"/>
  <c r="S431" i="8"/>
  <c r="T431" i="8"/>
  <c r="N432" i="8"/>
  <c r="O432" i="8"/>
  <c r="P432" i="8"/>
  <c r="Q432" i="8"/>
  <c r="R432" i="8"/>
  <c r="S432" i="8"/>
  <c r="T432" i="8"/>
  <c r="N433" i="8"/>
  <c r="O433" i="8"/>
  <c r="P433" i="8"/>
  <c r="Q433" i="8"/>
  <c r="R433" i="8"/>
  <c r="S433" i="8"/>
  <c r="T433" i="8"/>
  <c r="N434" i="8"/>
  <c r="O434" i="8"/>
  <c r="P434" i="8"/>
  <c r="Q434" i="8"/>
  <c r="R434" i="8"/>
  <c r="S434" i="8"/>
  <c r="T434" i="8"/>
  <c r="N435" i="8"/>
  <c r="O435" i="8"/>
  <c r="P435" i="8"/>
  <c r="Q435" i="8"/>
  <c r="R435" i="8"/>
  <c r="S435" i="8"/>
  <c r="T435" i="8"/>
  <c r="N436" i="8"/>
  <c r="O436" i="8"/>
  <c r="P436" i="8"/>
  <c r="Q436" i="8"/>
  <c r="R436" i="8"/>
  <c r="S436" i="8"/>
  <c r="T436" i="8"/>
  <c r="N437" i="8"/>
  <c r="O437" i="8"/>
  <c r="P437" i="8"/>
  <c r="Q437" i="8"/>
  <c r="R437" i="8"/>
  <c r="S437" i="8"/>
  <c r="T437" i="8"/>
  <c r="N438" i="8"/>
  <c r="O438" i="8"/>
  <c r="P438" i="8"/>
  <c r="Q438" i="8"/>
  <c r="R438" i="8"/>
  <c r="S438" i="8"/>
  <c r="T438" i="8"/>
  <c r="N439" i="8"/>
  <c r="O439" i="8"/>
  <c r="P439" i="8"/>
  <c r="Q439" i="8"/>
  <c r="R439" i="8"/>
  <c r="S439" i="8"/>
  <c r="T439" i="8"/>
  <c r="N440" i="8"/>
  <c r="O440" i="8"/>
  <c r="P440" i="8"/>
  <c r="Q440" i="8"/>
  <c r="R440" i="8"/>
  <c r="S440" i="8"/>
  <c r="T440" i="8"/>
  <c r="N441" i="8"/>
  <c r="O441" i="8"/>
  <c r="P441" i="8"/>
  <c r="Q441" i="8"/>
  <c r="R441" i="8"/>
  <c r="S441" i="8"/>
  <c r="T441" i="8"/>
  <c r="N442" i="8"/>
  <c r="O442" i="8"/>
  <c r="P442" i="8"/>
  <c r="Q442" i="8"/>
  <c r="R442" i="8"/>
  <c r="S442" i="8"/>
  <c r="T442" i="8"/>
  <c r="N443" i="8"/>
  <c r="O443" i="8"/>
  <c r="P443" i="8"/>
  <c r="Q443" i="8"/>
  <c r="R443" i="8"/>
  <c r="S443" i="8"/>
  <c r="T443" i="8"/>
  <c r="N444" i="8"/>
  <c r="O444" i="8"/>
  <c r="P444" i="8"/>
  <c r="Q444" i="8"/>
  <c r="R444" i="8"/>
  <c r="S444" i="8"/>
  <c r="T444" i="8"/>
  <c r="N445" i="8"/>
  <c r="O445" i="8"/>
  <c r="P445" i="8"/>
  <c r="Q445" i="8"/>
  <c r="R445" i="8"/>
  <c r="S445" i="8"/>
  <c r="T445" i="8"/>
  <c r="N446" i="8"/>
  <c r="O446" i="8"/>
  <c r="P446" i="8"/>
  <c r="Q446" i="8"/>
  <c r="R446" i="8"/>
  <c r="S446" i="8"/>
  <c r="T446" i="8"/>
  <c r="N447" i="8"/>
  <c r="O447" i="8"/>
  <c r="P447" i="8"/>
  <c r="Q447" i="8"/>
  <c r="R447" i="8"/>
  <c r="S447" i="8"/>
  <c r="T447" i="8"/>
  <c r="N448" i="8"/>
  <c r="O448" i="8"/>
  <c r="P448" i="8"/>
  <c r="Q448" i="8"/>
  <c r="R448" i="8"/>
  <c r="S448" i="8"/>
  <c r="T448" i="8"/>
  <c r="N449" i="8"/>
  <c r="O449" i="8"/>
  <c r="P449" i="8"/>
  <c r="Q449" i="8"/>
  <c r="R449" i="8"/>
  <c r="S449" i="8"/>
  <c r="T449" i="8"/>
  <c r="N450" i="8"/>
  <c r="O450" i="8"/>
  <c r="P450" i="8"/>
  <c r="Q450" i="8"/>
  <c r="R450" i="8"/>
  <c r="S450" i="8"/>
  <c r="T450" i="8"/>
  <c r="H453" i="8"/>
  <c r="H454" i="8"/>
  <c r="H455" i="8"/>
  <c r="H456" i="8"/>
  <c r="H457" i="8"/>
  <c r="H458" i="8"/>
  <c r="H459" i="8"/>
  <c r="H460" i="8"/>
  <c r="N463" i="8"/>
  <c r="O463" i="8"/>
  <c r="P463" i="8"/>
  <c r="Q463" i="8"/>
  <c r="R463" i="8"/>
  <c r="S463" i="8"/>
  <c r="T463" i="8"/>
  <c r="N464" i="8"/>
  <c r="O464" i="8"/>
  <c r="P464" i="8"/>
  <c r="Q464" i="8"/>
  <c r="R464" i="8"/>
  <c r="S464" i="8"/>
  <c r="T464" i="8"/>
  <c r="N465" i="8"/>
  <c r="O465" i="8"/>
  <c r="P465" i="8"/>
  <c r="Q465" i="8"/>
  <c r="R465" i="8"/>
  <c r="S465" i="8"/>
  <c r="T465" i="8"/>
  <c r="N466" i="8"/>
  <c r="O466" i="8"/>
  <c r="P466" i="8"/>
  <c r="Q466" i="8"/>
  <c r="R466" i="8"/>
  <c r="S466" i="8"/>
  <c r="T466" i="8"/>
  <c r="N467" i="8"/>
  <c r="O467" i="8"/>
  <c r="P467" i="8"/>
  <c r="Q467" i="8"/>
  <c r="R467" i="8"/>
  <c r="S467" i="8"/>
  <c r="T467" i="8"/>
  <c r="N468" i="8"/>
  <c r="O468" i="8"/>
  <c r="P468" i="8"/>
  <c r="Q468" i="8"/>
  <c r="R468" i="8"/>
  <c r="S468" i="8"/>
  <c r="T468" i="8"/>
  <c r="N469" i="8"/>
  <c r="O469" i="8"/>
  <c r="P469" i="8"/>
  <c r="Q469" i="8"/>
  <c r="R469" i="8"/>
  <c r="S469" i="8"/>
  <c r="T469" i="8"/>
  <c r="N470" i="8"/>
  <c r="O470" i="8"/>
  <c r="P470" i="8"/>
  <c r="Q470" i="8"/>
  <c r="R470" i="8"/>
  <c r="S470" i="8"/>
  <c r="T470" i="8"/>
  <c r="N471" i="8"/>
  <c r="O471" i="8"/>
  <c r="P471" i="8"/>
  <c r="Q471" i="8"/>
  <c r="R471" i="8"/>
  <c r="S471" i="8"/>
  <c r="T471" i="8"/>
  <c r="N472" i="8"/>
  <c r="O472" i="8"/>
  <c r="P472" i="8"/>
  <c r="Q472" i="8"/>
  <c r="R472" i="8"/>
  <c r="S472" i="8"/>
  <c r="T472" i="8"/>
  <c r="N473" i="8"/>
  <c r="O473" i="8"/>
  <c r="P473" i="8"/>
  <c r="Q473" i="8"/>
  <c r="R473" i="8"/>
  <c r="S473" i="8"/>
  <c r="T473" i="8"/>
  <c r="N474" i="8"/>
  <c r="O474" i="8"/>
  <c r="P474" i="8"/>
  <c r="Q474" i="8"/>
  <c r="R474" i="8"/>
  <c r="S474" i="8"/>
  <c r="T474" i="8"/>
  <c r="N475" i="8"/>
  <c r="O475" i="8"/>
  <c r="P475" i="8"/>
  <c r="Q475" i="8"/>
  <c r="R475" i="8"/>
  <c r="S475" i="8"/>
  <c r="T475" i="8"/>
  <c r="N476" i="8"/>
  <c r="O476" i="8"/>
  <c r="P476" i="8"/>
  <c r="Q476" i="8"/>
  <c r="R476" i="8"/>
  <c r="S476" i="8"/>
  <c r="T476" i="8"/>
  <c r="N477" i="8"/>
  <c r="O477" i="8"/>
  <c r="P477" i="8"/>
  <c r="Q477" i="8"/>
  <c r="R477" i="8"/>
  <c r="S477" i="8"/>
  <c r="T477" i="8"/>
  <c r="N478" i="8"/>
  <c r="O478" i="8"/>
  <c r="P478" i="8"/>
  <c r="Q478" i="8"/>
  <c r="R478" i="8"/>
  <c r="S478" i="8"/>
  <c r="T478" i="8"/>
  <c r="N479" i="8"/>
  <c r="O479" i="8"/>
  <c r="P479" i="8"/>
  <c r="Q479" i="8"/>
  <c r="R479" i="8"/>
  <c r="S479" i="8"/>
  <c r="T479" i="8"/>
  <c r="N480" i="8"/>
  <c r="O480" i="8"/>
  <c r="P480" i="8"/>
  <c r="Q480" i="8"/>
  <c r="R480" i="8"/>
  <c r="S480" i="8"/>
  <c r="T480" i="8"/>
  <c r="N481" i="8"/>
  <c r="O481" i="8"/>
  <c r="P481" i="8"/>
  <c r="Q481" i="8"/>
  <c r="R481" i="8"/>
  <c r="S481" i="8"/>
  <c r="T481" i="8"/>
  <c r="N482" i="8"/>
  <c r="O482" i="8"/>
  <c r="P482" i="8"/>
  <c r="Q482" i="8"/>
  <c r="R482" i="8"/>
  <c r="S482" i="8"/>
  <c r="T482" i="8"/>
  <c r="H485" i="8"/>
  <c r="H486" i="8"/>
  <c r="H487" i="8"/>
  <c r="H488" i="8"/>
  <c r="H489" i="8"/>
  <c r="H490" i="8"/>
  <c r="H491" i="8"/>
  <c r="H492" i="8"/>
  <c r="N495" i="8"/>
  <c r="O495" i="8"/>
  <c r="P495" i="8"/>
  <c r="Q495" i="8"/>
  <c r="R495" i="8"/>
  <c r="S495" i="8"/>
  <c r="T495" i="8"/>
  <c r="N496" i="8"/>
  <c r="O496" i="8"/>
  <c r="P496" i="8"/>
  <c r="Q496" i="8"/>
  <c r="R496" i="8"/>
  <c r="S496" i="8"/>
  <c r="T496" i="8"/>
  <c r="N497" i="8"/>
  <c r="O497" i="8"/>
  <c r="P497" i="8"/>
  <c r="Q497" i="8"/>
  <c r="R497" i="8"/>
  <c r="S497" i="8"/>
  <c r="T497" i="8"/>
  <c r="N498" i="8"/>
  <c r="O498" i="8"/>
  <c r="P498" i="8"/>
  <c r="Q498" i="8"/>
  <c r="R498" i="8"/>
  <c r="S498" i="8"/>
  <c r="T498" i="8"/>
  <c r="N499" i="8"/>
  <c r="O499" i="8"/>
  <c r="P499" i="8"/>
  <c r="Q499" i="8"/>
  <c r="R499" i="8"/>
  <c r="S499" i="8"/>
  <c r="T499" i="8"/>
  <c r="N500" i="8"/>
  <c r="O500" i="8"/>
  <c r="P500" i="8"/>
  <c r="Q500" i="8"/>
  <c r="R500" i="8"/>
  <c r="S500" i="8"/>
  <c r="T500" i="8"/>
  <c r="N501" i="8"/>
  <c r="O501" i="8"/>
  <c r="P501" i="8"/>
  <c r="Q501" i="8"/>
  <c r="R501" i="8"/>
  <c r="S501" i="8"/>
  <c r="T501" i="8"/>
  <c r="N502" i="8"/>
  <c r="O502" i="8"/>
  <c r="P502" i="8"/>
  <c r="Q502" i="8"/>
  <c r="R502" i="8"/>
  <c r="S502" i="8"/>
  <c r="T502" i="8"/>
  <c r="N503" i="8"/>
  <c r="O503" i="8"/>
  <c r="P503" i="8"/>
  <c r="Q503" i="8"/>
  <c r="R503" i="8"/>
  <c r="S503" i="8"/>
  <c r="T503" i="8"/>
  <c r="N504" i="8"/>
  <c r="O504" i="8"/>
  <c r="P504" i="8"/>
  <c r="Q504" i="8"/>
  <c r="R504" i="8"/>
  <c r="S504" i="8"/>
  <c r="T504" i="8"/>
  <c r="N505" i="8"/>
  <c r="O505" i="8"/>
  <c r="P505" i="8"/>
  <c r="Q505" i="8"/>
  <c r="R505" i="8"/>
  <c r="S505" i="8"/>
  <c r="T505" i="8"/>
  <c r="N506" i="8"/>
  <c r="O506" i="8"/>
  <c r="P506" i="8"/>
  <c r="Q506" i="8"/>
  <c r="R506" i="8"/>
  <c r="S506" i="8"/>
  <c r="T506" i="8"/>
  <c r="N507" i="8"/>
  <c r="O507" i="8"/>
  <c r="P507" i="8"/>
  <c r="Q507" i="8"/>
  <c r="R507" i="8"/>
  <c r="S507" i="8"/>
  <c r="T507" i="8"/>
  <c r="N508" i="8"/>
  <c r="O508" i="8"/>
  <c r="P508" i="8"/>
  <c r="Q508" i="8"/>
  <c r="R508" i="8"/>
  <c r="S508" i="8"/>
  <c r="T508" i="8"/>
  <c r="N509" i="8"/>
  <c r="O509" i="8"/>
  <c r="P509" i="8"/>
  <c r="Q509" i="8"/>
  <c r="R509" i="8"/>
  <c r="S509" i="8"/>
  <c r="T509" i="8"/>
  <c r="N510" i="8"/>
  <c r="O510" i="8"/>
  <c r="P510" i="8"/>
  <c r="Q510" i="8"/>
  <c r="R510" i="8"/>
  <c r="S510" i="8"/>
  <c r="T510" i="8"/>
  <c r="N511" i="8"/>
  <c r="O511" i="8"/>
  <c r="P511" i="8"/>
  <c r="Q511" i="8"/>
  <c r="R511" i="8"/>
  <c r="S511" i="8"/>
  <c r="T511" i="8"/>
  <c r="N512" i="8"/>
  <c r="O512" i="8"/>
  <c r="P512" i="8"/>
  <c r="Q512" i="8"/>
  <c r="R512" i="8"/>
  <c r="S512" i="8"/>
  <c r="T512" i="8"/>
  <c r="N513" i="8"/>
  <c r="O513" i="8"/>
  <c r="P513" i="8"/>
  <c r="Q513" i="8"/>
  <c r="R513" i="8"/>
  <c r="S513" i="8"/>
  <c r="T513" i="8"/>
  <c r="N514" i="8"/>
  <c r="O514" i="8"/>
  <c r="P514" i="8"/>
  <c r="Q514" i="8"/>
  <c r="R514" i="8"/>
  <c r="S514" i="8"/>
  <c r="T514" i="8"/>
  <c r="H517" i="8"/>
  <c r="H518" i="8"/>
  <c r="H520" i="8"/>
  <c r="H522" i="8"/>
  <c r="H523" i="8"/>
  <c r="H524" i="8"/>
  <c r="C554" i="8"/>
  <c r="E554" i="8"/>
  <c r="F554" i="8"/>
  <c r="G554" i="8"/>
  <c r="H554" i="8"/>
  <c r="I554" i="8"/>
  <c r="J554" i="8"/>
  <c r="K554" i="8"/>
  <c r="C555" i="8"/>
  <c r="E555" i="8"/>
  <c r="F555" i="8"/>
  <c r="G555" i="8"/>
  <c r="H555" i="8"/>
  <c r="I555" i="8"/>
  <c r="J555" i="8"/>
  <c r="K555" i="8"/>
  <c r="C556" i="8"/>
  <c r="E556" i="8"/>
  <c r="F556" i="8"/>
  <c r="G556" i="8"/>
  <c r="H556" i="8"/>
  <c r="I556" i="8"/>
  <c r="J556" i="8"/>
  <c r="K556" i="8"/>
  <c r="C557" i="8"/>
  <c r="E557" i="8"/>
  <c r="F557" i="8"/>
  <c r="G557" i="8"/>
  <c r="H557" i="8"/>
  <c r="I557" i="8"/>
  <c r="J557" i="8"/>
  <c r="K557" i="8"/>
  <c r="C558" i="8"/>
  <c r="E558" i="8"/>
  <c r="F558" i="8"/>
  <c r="G558" i="8"/>
  <c r="H558" i="8"/>
  <c r="I558" i="8"/>
  <c r="J558" i="8"/>
  <c r="K558" i="8"/>
  <c r="C559" i="8"/>
  <c r="E559" i="8"/>
  <c r="F559" i="8"/>
  <c r="G559" i="8"/>
  <c r="H559" i="8"/>
  <c r="I559" i="8"/>
  <c r="J559" i="8"/>
  <c r="K559" i="8"/>
  <c r="C560" i="8"/>
  <c r="E560" i="8"/>
  <c r="F560" i="8"/>
  <c r="G560" i="8"/>
  <c r="H560" i="8"/>
  <c r="I560" i="8"/>
  <c r="J560" i="8"/>
  <c r="K560" i="8"/>
  <c r="C561" i="8"/>
  <c r="E561" i="8"/>
  <c r="F561" i="8"/>
  <c r="G561" i="8"/>
  <c r="H561" i="8"/>
  <c r="I561" i="8"/>
  <c r="J561" i="8"/>
  <c r="K561" i="8"/>
  <c r="C562" i="8"/>
  <c r="E562" i="8"/>
  <c r="F562" i="8"/>
  <c r="G562" i="8"/>
  <c r="H562" i="8"/>
  <c r="I562" i="8"/>
  <c r="J562" i="8"/>
  <c r="K562" i="8"/>
  <c r="C563" i="8"/>
  <c r="E563" i="8"/>
  <c r="F563" i="8"/>
  <c r="G563" i="8"/>
  <c r="H563" i="8"/>
  <c r="I563" i="8"/>
  <c r="J563" i="8"/>
  <c r="K563" i="8"/>
  <c r="C564" i="8"/>
  <c r="E564" i="8"/>
  <c r="F564" i="8"/>
  <c r="G564" i="8"/>
  <c r="H564" i="8"/>
  <c r="I564" i="8"/>
  <c r="J564" i="8"/>
  <c r="K564" i="8"/>
  <c r="C565" i="8"/>
  <c r="E565" i="8"/>
  <c r="F565" i="8"/>
  <c r="G565" i="8"/>
  <c r="H565" i="8"/>
  <c r="I565" i="8"/>
  <c r="J565" i="8"/>
  <c r="K565" i="8"/>
  <c r="C566" i="8"/>
  <c r="E566" i="8"/>
  <c r="F566" i="8"/>
  <c r="G566" i="8"/>
  <c r="H566" i="8"/>
  <c r="I566" i="8"/>
  <c r="J566" i="8"/>
  <c r="K566" i="8"/>
  <c r="C567" i="8"/>
  <c r="E567" i="8"/>
  <c r="F567" i="8"/>
  <c r="G567" i="8"/>
  <c r="H567" i="8"/>
  <c r="I567" i="8"/>
  <c r="J567" i="8"/>
  <c r="K567" i="8"/>
  <c r="C568" i="8"/>
  <c r="H145" i="2"/>
  <c r="L145" i="2" s="1"/>
  <c r="E145" i="2"/>
  <c r="M144" i="2"/>
  <c r="I16" i="3"/>
  <c r="K16" i="3"/>
  <c r="J16" i="3"/>
  <c r="L144" i="2"/>
  <c r="L73" i="1"/>
  <c r="G44" i="1"/>
  <c r="T5" i="1"/>
  <c r="I40" i="1"/>
  <c r="I44" i="1" s="1"/>
  <c r="E40" i="1"/>
  <c r="C44" i="1"/>
  <c r="M73" i="1"/>
  <c r="M67" i="1"/>
  <c r="M66" i="1"/>
  <c r="M65" i="1"/>
  <c r="G152" i="2"/>
  <c r="D153" i="2"/>
  <c r="D152" i="2"/>
  <c r="F153" i="2"/>
  <c r="F152" i="2"/>
  <c r="H144" i="2"/>
  <c r="E144" i="2"/>
  <c r="J6" i="1"/>
  <c r="O16" i="3"/>
  <c r="E5" i="7"/>
  <c r="F5" i="7"/>
  <c r="E6" i="7"/>
  <c r="F6" i="7"/>
  <c r="E7" i="7"/>
  <c r="F7" i="7"/>
  <c r="E8" i="7"/>
  <c r="F8" i="7"/>
  <c r="E9" i="7"/>
  <c r="F9" i="7"/>
  <c r="E10" i="7"/>
  <c r="F10" i="7"/>
  <c r="H105" i="2"/>
  <c r="H107" i="2" s="1"/>
  <c r="O153" i="2"/>
  <c r="I153" i="2"/>
  <c r="D164" i="2" s="1"/>
  <c r="H143" i="2"/>
  <c r="L143" i="2" s="1"/>
  <c r="I152" i="2"/>
  <c r="E143" i="2"/>
  <c r="J143" i="2"/>
  <c r="Q16" i="3"/>
  <c r="P16" i="3"/>
  <c r="H142" i="2"/>
  <c r="L142" i="2" s="1"/>
  <c r="E142" i="2"/>
  <c r="I25" i="1"/>
  <c r="F26" i="1"/>
  <c r="I26" i="1"/>
  <c r="G26" i="1" s="1"/>
  <c r="J26" i="1"/>
  <c r="B83" i="1"/>
  <c r="B82" i="1"/>
  <c r="B81" i="1"/>
  <c r="B80" i="1"/>
  <c r="B79" i="1"/>
  <c r="B78" i="1"/>
  <c r="H141" i="2"/>
  <c r="M141" i="2" s="1"/>
  <c r="F160" i="2"/>
  <c r="D160" i="2"/>
  <c r="I88" i="2"/>
  <c r="M86" i="2"/>
  <c r="L86" i="2"/>
  <c r="M85" i="2"/>
  <c r="M80" i="2"/>
  <c r="L85" i="2"/>
  <c r="H88" i="2"/>
  <c r="H87" i="2"/>
  <c r="L80" i="2"/>
  <c r="E80" i="2"/>
  <c r="E83" i="2"/>
  <c r="E84" i="2"/>
  <c r="M82" i="2"/>
  <c r="L82" i="2"/>
  <c r="L88" i="2" s="1"/>
  <c r="N88" i="2"/>
  <c r="M79" i="2"/>
  <c r="M87" i="2" s="1"/>
  <c r="L79" i="2"/>
  <c r="G87" i="2"/>
  <c r="E86" i="2"/>
  <c r="E85" i="2"/>
  <c r="E82" i="2"/>
  <c r="E79" i="2"/>
  <c r="E116" i="2"/>
  <c r="I87" i="2"/>
  <c r="L31" i="2"/>
  <c r="J31" i="2"/>
  <c r="J33" i="2" s="1"/>
  <c r="I33" i="2"/>
  <c r="D162" i="2"/>
  <c r="I32" i="2"/>
  <c r="N33" i="2"/>
  <c r="E31" i="2"/>
  <c r="D33" i="2"/>
  <c r="D32" i="2"/>
  <c r="F33" i="2"/>
  <c r="F32" i="2"/>
  <c r="F99" i="2"/>
  <c r="E141" i="2"/>
  <c r="G71" i="2"/>
  <c r="G70" i="2"/>
  <c r="G69" i="2"/>
  <c r="G68" i="2"/>
  <c r="G67" i="2"/>
  <c r="G66" i="2"/>
  <c r="G65" i="2"/>
  <c r="G64" i="2"/>
  <c r="G61" i="2"/>
  <c r="G58" i="2"/>
  <c r="G40" i="2"/>
  <c r="G44" i="2"/>
  <c r="G46" i="2"/>
  <c r="G49" i="2"/>
  <c r="G53" i="2"/>
  <c r="G55" i="2"/>
  <c r="H140" i="2"/>
  <c r="M140" i="2" s="1"/>
  <c r="E140" i="2"/>
  <c r="E33" i="1"/>
  <c r="E34" i="1"/>
  <c r="E35" i="1"/>
  <c r="E36" i="1"/>
  <c r="E37" i="1"/>
  <c r="E38" i="1"/>
  <c r="E39" i="1"/>
  <c r="L57" i="1"/>
  <c r="H134" i="2"/>
  <c r="M134" i="2"/>
  <c r="E105" i="2"/>
  <c r="F73" i="2"/>
  <c r="F72" i="2"/>
  <c r="D72" i="2"/>
  <c r="D73" i="2"/>
  <c r="D99" i="2"/>
  <c r="I71" i="2"/>
  <c r="E71" i="2"/>
  <c r="I70" i="2"/>
  <c r="E70" i="2"/>
  <c r="I69" i="2"/>
  <c r="E69" i="2"/>
  <c r="I68" i="2"/>
  <c r="E68" i="2"/>
  <c r="I67" i="2"/>
  <c r="E67" i="2"/>
  <c r="I66" i="2"/>
  <c r="E66" i="2"/>
  <c r="I65" i="2"/>
  <c r="E65" i="2"/>
  <c r="I64" i="2"/>
  <c r="E64" i="2"/>
  <c r="I61" i="2"/>
  <c r="N61" i="2"/>
  <c r="E62" i="2"/>
  <c r="E61" i="2"/>
  <c r="I58" i="2"/>
  <c r="M58" i="2" s="1"/>
  <c r="E60" i="2"/>
  <c r="E59" i="2"/>
  <c r="E58" i="2"/>
  <c r="K55" i="2"/>
  <c r="I55" i="2"/>
  <c r="M55" i="2" s="1"/>
  <c r="E57" i="2"/>
  <c r="E56" i="2"/>
  <c r="E55" i="2"/>
  <c r="H72" i="2"/>
  <c r="P73" i="2"/>
  <c r="I53" i="2"/>
  <c r="M53" i="2" s="1"/>
  <c r="E54" i="2"/>
  <c r="E53" i="2"/>
  <c r="I49" i="2"/>
  <c r="N49" i="2" s="1"/>
  <c r="K44" i="2"/>
  <c r="I46" i="2"/>
  <c r="N46" i="2" s="1"/>
  <c r="I44" i="2"/>
  <c r="N44" i="2" s="1"/>
  <c r="I40" i="2"/>
  <c r="N40" i="2" s="1"/>
  <c r="H14" i="2"/>
  <c r="L14" i="2"/>
  <c r="E52" i="2"/>
  <c r="E51" i="2"/>
  <c r="E50" i="2"/>
  <c r="E49" i="2"/>
  <c r="E48" i="2"/>
  <c r="E47" i="2"/>
  <c r="E46" i="2"/>
  <c r="E45" i="2"/>
  <c r="E44" i="2"/>
  <c r="I43" i="2"/>
  <c r="N43" i="2" s="1"/>
  <c r="E43" i="2"/>
  <c r="E42" i="2"/>
  <c r="E41" i="2"/>
  <c r="E40" i="2"/>
  <c r="I39" i="2"/>
  <c r="N39" i="2" s="1"/>
  <c r="E39" i="2"/>
  <c r="G32" i="2"/>
  <c r="H30" i="2"/>
  <c r="M30" i="2" s="1"/>
  <c r="E30" i="2"/>
  <c r="H29" i="2"/>
  <c r="M29" i="2" s="1"/>
  <c r="E29" i="2"/>
  <c r="J17" i="2"/>
  <c r="J21" i="2"/>
  <c r="J10" i="2"/>
  <c r="G22" i="2"/>
  <c r="I23" i="2"/>
  <c r="I22" i="2"/>
  <c r="F23" i="2"/>
  <c r="F22" i="2"/>
  <c r="D22" i="2"/>
  <c r="D23" i="2"/>
  <c r="N23" i="2"/>
  <c r="H21" i="2"/>
  <c r="E21" i="2"/>
  <c r="H20" i="2"/>
  <c r="M20" i="2" s="1"/>
  <c r="E20" i="2"/>
  <c r="H19" i="2"/>
  <c r="L19" i="2" s="1"/>
  <c r="E19" i="2"/>
  <c r="H18" i="2"/>
  <c r="E18" i="2"/>
  <c r="H17" i="2"/>
  <c r="L17" i="2" s="1"/>
  <c r="E17" i="2"/>
  <c r="E16" i="2"/>
  <c r="E15" i="2"/>
  <c r="E14" i="2"/>
  <c r="H13" i="2"/>
  <c r="M13" i="2" s="1"/>
  <c r="E13" i="2"/>
  <c r="H12" i="2"/>
  <c r="E12" i="2"/>
  <c r="H10" i="2"/>
  <c r="M10" i="2" s="1"/>
  <c r="E10" i="2"/>
  <c r="H9" i="2"/>
  <c r="M9" i="2" s="1"/>
  <c r="E9" i="2"/>
  <c r="H8" i="2"/>
  <c r="L8" i="2" s="1"/>
  <c r="E8" i="2"/>
  <c r="H7" i="2"/>
  <c r="M7" i="2"/>
  <c r="E7" i="2"/>
  <c r="H139" i="2"/>
  <c r="M139" i="2" s="1"/>
  <c r="E139" i="2"/>
  <c r="H138" i="2"/>
  <c r="M138" i="2"/>
  <c r="E138" i="2"/>
  <c r="J7" i="1"/>
  <c r="H137" i="2"/>
  <c r="M137" i="2" s="1"/>
  <c r="E137" i="2"/>
  <c r="H136" i="2"/>
  <c r="L136" i="2" s="1"/>
  <c r="E136" i="2"/>
  <c r="E134" i="2"/>
  <c r="I34" i="1"/>
  <c r="I35" i="1" s="1"/>
  <c r="I36" i="1" s="1"/>
  <c r="I37" i="1" s="1"/>
  <c r="I38" i="1" s="1"/>
  <c r="J8" i="1"/>
  <c r="AC9" i="3"/>
  <c r="AB9" i="3"/>
  <c r="AA9" i="3"/>
  <c r="U9" i="3"/>
  <c r="V9" i="3"/>
  <c r="H133" i="2"/>
  <c r="M133" i="2" s="1"/>
  <c r="E133" i="2"/>
  <c r="I22" i="1"/>
  <c r="J131" i="2"/>
  <c r="J5" i="1"/>
  <c r="J9" i="1"/>
  <c r="J10" i="1"/>
  <c r="J11" i="1"/>
  <c r="J13" i="1"/>
  <c r="J14" i="1"/>
  <c r="I23" i="1"/>
  <c r="I24" i="1"/>
  <c r="I27" i="1"/>
  <c r="H132" i="2"/>
  <c r="M132" i="2" s="1"/>
  <c r="E132" i="2"/>
  <c r="H130" i="2"/>
  <c r="L130" i="2" s="1"/>
  <c r="J127" i="2"/>
  <c r="J123" i="2"/>
  <c r="J119" i="2"/>
  <c r="J115" i="2"/>
  <c r="H131" i="2"/>
  <c r="L131" i="2" s="1"/>
  <c r="H129" i="2"/>
  <c r="L129" i="2" s="1"/>
  <c r="M129" i="2"/>
  <c r="H114" i="2"/>
  <c r="L114" i="2" s="1"/>
  <c r="H115" i="2"/>
  <c r="L115" i="2" s="1"/>
  <c r="M115" i="2"/>
  <c r="H116" i="2"/>
  <c r="M116" i="2" s="1"/>
  <c r="H117" i="2"/>
  <c r="M117" i="2" s="1"/>
  <c r="H118" i="2"/>
  <c r="M118" i="2" s="1"/>
  <c r="L118" i="2"/>
  <c r="H119" i="2"/>
  <c r="M119" i="2" s="1"/>
  <c r="H120" i="2"/>
  <c r="M120" i="2" s="1"/>
  <c r="H121" i="2"/>
  <c r="M121" i="2" s="1"/>
  <c r="L121" i="2"/>
  <c r="H122" i="2"/>
  <c r="M122" i="2" s="1"/>
  <c r="H123" i="2"/>
  <c r="L123" i="2" s="1"/>
  <c r="M123" i="2"/>
  <c r="H124" i="2"/>
  <c r="L124" i="2" s="1"/>
  <c r="H113" i="2"/>
  <c r="M113" i="2" s="1"/>
  <c r="E129" i="2"/>
  <c r="E118" i="2"/>
  <c r="E119" i="2"/>
  <c r="E120" i="2"/>
  <c r="E121" i="2"/>
  <c r="E122" i="2"/>
  <c r="E123" i="2"/>
  <c r="E124" i="2"/>
  <c r="E130" i="2"/>
  <c r="E131" i="2"/>
  <c r="E114" i="2"/>
  <c r="E115" i="2"/>
  <c r="E117" i="2"/>
  <c r="E113" i="2"/>
  <c r="M142" i="2"/>
  <c r="E32" i="2"/>
  <c r="H32" i="2"/>
  <c r="H33" i="2"/>
  <c r="H99" i="2"/>
  <c r="K105" i="2"/>
  <c r="K107" i="2"/>
  <c r="N53" i="2"/>
  <c r="M49" i="2"/>
  <c r="M61" i="2"/>
  <c r="N58" i="2"/>
  <c r="N55" i="2"/>
  <c r="M43" i="2"/>
  <c r="M44" i="2"/>
  <c r="M39" i="2"/>
  <c r="L29" i="2"/>
  <c r="L30" i="2"/>
  <c r="M14" i="2"/>
  <c r="M17" i="2"/>
  <c r="L10" i="2"/>
  <c r="L138" i="2"/>
  <c r="L7" i="2"/>
  <c r="L20" i="2"/>
  <c r="L137" i="2"/>
  <c r="M19" i="2"/>
  <c r="L12" i="2"/>
  <c r="L18" i="2"/>
  <c r="L21" i="2"/>
  <c r="M12" i="2"/>
  <c r="M18" i="2"/>
  <c r="M21" i="2"/>
  <c r="L134" i="2"/>
  <c r="L122" i="2"/>
  <c r="L133" i="2"/>
  <c r="M136" i="2"/>
  <c r="K99" i="2"/>
  <c r="J73" i="2"/>
  <c r="J72" i="2"/>
  <c r="K72" i="2"/>
  <c r="J70" i="1" l="1"/>
  <c r="J74" i="1" s="1"/>
  <c r="K70" i="1"/>
  <c r="K74" i="1" s="1"/>
  <c r="C31" i="3"/>
  <c r="C33" i="3" s="1"/>
  <c r="C34" i="3" s="1"/>
  <c r="I17" i="3"/>
  <c r="I19" i="3" s="1"/>
  <c r="I20" i="3" s="1"/>
  <c r="J69" i="1"/>
  <c r="H218" i="8"/>
  <c r="H242" i="8"/>
  <c r="H243" i="8"/>
  <c r="H244" i="8" s="1"/>
  <c r="H316" i="8"/>
  <c r="H317" i="8"/>
  <c r="H318" i="8" s="1"/>
  <c r="H49" i="8"/>
  <c r="H50" i="8" s="1"/>
  <c r="H48" i="8"/>
  <c r="H73" i="8"/>
  <c r="H74" i="8" s="1"/>
  <c r="H189" i="8"/>
  <c r="H190" i="8" s="1"/>
  <c r="H122" i="8"/>
  <c r="H123" i="8" s="1"/>
  <c r="H28" i="8"/>
  <c r="H29" i="8" s="1"/>
  <c r="H27" i="8"/>
  <c r="H341" i="8"/>
  <c r="H342" i="8" s="1"/>
  <c r="H219" i="8"/>
  <c r="H220" i="8" s="1"/>
  <c r="H40" i="1"/>
  <c r="J65" i="1"/>
  <c r="H39" i="1"/>
  <c r="K64" i="1"/>
  <c r="K62" i="1"/>
  <c r="K61" i="1"/>
  <c r="J58" i="1"/>
  <c r="K51" i="1"/>
  <c r="J50" i="1"/>
  <c r="D38" i="1"/>
  <c r="J52" i="1"/>
  <c r="K58" i="1"/>
  <c r="K52" i="1"/>
  <c r="J51" i="1"/>
  <c r="H34" i="1"/>
  <c r="K67" i="1"/>
  <c r="K65" i="1"/>
  <c r="J64" i="1"/>
  <c r="J62" i="1"/>
  <c r="J61" i="1"/>
  <c r="K57" i="1"/>
  <c r="K50" i="1"/>
  <c r="D37" i="1"/>
  <c r="K68" i="1"/>
  <c r="C85" i="1" s="1"/>
  <c r="C100" i="1" s="1"/>
  <c r="J67" i="1"/>
  <c r="K63" i="1"/>
  <c r="K60" i="1"/>
  <c r="J57" i="1"/>
  <c r="J56" i="1"/>
  <c r="D39" i="1"/>
  <c r="H38" i="1"/>
  <c r="D36" i="1"/>
  <c r="H37" i="1"/>
  <c r="D35" i="1"/>
  <c r="J68" i="1"/>
  <c r="D40" i="1"/>
  <c r="J63" i="1"/>
  <c r="K59" i="1"/>
  <c r="K55" i="1"/>
  <c r="J55" i="1"/>
  <c r="K66" i="1"/>
  <c r="J60" i="1"/>
  <c r="K56" i="1"/>
  <c r="J54" i="1"/>
  <c r="H36" i="1"/>
  <c r="D34" i="1"/>
  <c r="J66" i="1"/>
  <c r="J59" i="1"/>
  <c r="K54" i="1"/>
  <c r="J53" i="1"/>
  <c r="H33" i="1"/>
  <c r="J33" i="1"/>
  <c r="E23" i="1" s="1"/>
  <c r="K53" i="1"/>
  <c r="H35" i="1"/>
  <c r="D33" i="1"/>
  <c r="F39" i="1"/>
  <c r="F38" i="1"/>
  <c r="F37" i="1"/>
  <c r="F35" i="1"/>
  <c r="F34" i="1"/>
  <c r="F40" i="1"/>
  <c r="F33" i="1"/>
  <c r="AA10" i="3"/>
  <c r="AA13" i="3" s="1"/>
  <c r="AA14" i="3" s="1"/>
  <c r="U10" i="3"/>
  <c r="U12" i="3" s="1"/>
  <c r="U13" i="3" s="1"/>
  <c r="O17" i="3"/>
  <c r="O19" i="3" s="1"/>
  <c r="O20" i="3" s="1"/>
  <c r="H577" i="8"/>
  <c r="D576" i="8"/>
  <c r="L576" i="8" s="1"/>
  <c r="M576" i="8" s="1"/>
  <c r="D575" i="8"/>
  <c r="L575" i="8" s="1"/>
  <c r="M575" i="8" s="1"/>
  <c r="D574" i="8"/>
  <c r="L574" i="8" s="1"/>
  <c r="M574" i="8" s="1"/>
  <c r="D573" i="8"/>
  <c r="L573" i="8" s="1"/>
  <c r="M573" i="8" s="1"/>
  <c r="D572" i="8"/>
  <c r="L572" i="8" s="1"/>
  <c r="M572" i="8" s="1"/>
  <c r="D571" i="8"/>
  <c r="L571" i="8" s="1"/>
  <c r="M571" i="8" s="1"/>
  <c r="D570" i="8"/>
  <c r="L570" i="8" s="1"/>
  <c r="M570" i="8" s="1"/>
  <c r="D569" i="8"/>
  <c r="L569" i="8" s="1"/>
  <c r="M569" i="8" s="1"/>
  <c r="D568" i="8"/>
  <c r="L568" i="8" s="1"/>
  <c r="M568" i="8" s="1"/>
  <c r="M130" i="2"/>
  <c r="M145" i="2"/>
  <c r="H340" i="8"/>
  <c r="G578" i="8"/>
  <c r="E578" i="8"/>
  <c r="C578" i="8"/>
  <c r="K577" i="8"/>
  <c r="K578" i="8"/>
  <c r="J577" i="8"/>
  <c r="J578" i="8"/>
  <c r="I577" i="8"/>
  <c r="G577" i="8"/>
  <c r="N9" i="1" s="1"/>
  <c r="I578" i="8"/>
  <c r="H578" i="8"/>
  <c r="F577" i="8"/>
  <c r="C577" i="8"/>
  <c r="F578" i="8"/>
  <c r="D566" i="8"/>
  <c r="L566" i="8" s="1"/>
  <c r="M566" i="8" s="1"/>
  <c r="D565" i="8"/>
  <c r="L565" i="8" s="1"/>
  <c r="M565" i="8" s="1"/>
  <c r="D559" i="8"/>
  <c r="L559" i="8" s="1"/>
  <c r="M559" i="8" s="1"/>
  <c r="E577" i="8"/>
  <c r="D558" i="8"/>
  <c r="L558" i="8" s="1"/>
  <c r="M558" i="8" s="1"/>
  <c r="D557" i="8"/>
  <c r="L557" i="8" s="1"/>
  <c r="M557" i="8" s="1"/>
  <c r="D556" i="8"/>
  <c r="L556" i="8" s="1"/>
  <c r="M556" i="8" s="1"/>
  <c r="D555" i="8"/>
  <c r="L555" i="8" s="1"/>
  <c r="M555" i="8" s="1"/>
  <c r="D567" i="8"/>
  <c r="L567" i="8" s="1"/>
  <c r="M567" i="8" s="1"/>
  <c r="D564" i="8"/>
  <c r="L564" i="8" s="1"/>
  <c r="M564" i="8" s="1"/>
  <c r="D563" i="8"/>
  <c r="L563" i="8" s="1"/>
  <c r="M563" i="8" s="1"/>
  <c r="D561" i="8"/>
  <c r="L561" i="8" s="1"/>
  <c r="M561" i="8" s="1"/>
  <c r="H294" i="8"/>
  <c r="H295" i="8" s="1"/>
  <c r="D562" i="8"/>
  <c r="L562" i="8" s="1"/>
  <c r="M562" i="8" s="1"/>
  <c r="D560" i="8"/>
  <c r="L560" i="8" s="1"/>
  <c r="M560" i="8" s="1"/>
  <c r="D554" i="8"/>
  <c r="M46" i="2"/>
  <c r="L87" i="2"/>
  <c r="L9" i="2"/>
  <c r="L22" i="2" s="1"/>
  <c r="L113" i="2"/>
  <c r="M40" i="2"/>
  <c r="M73" i="2" s="1"/>
  <c r="L13" i="2"/>
  <c r="E162" i="2" s="1"/>
  <c r="M8" i="2"/>
  <c r="M22" i="2" s="1"/>
  <c r="M131" i="2"/>
  <c r="M114" i="2"/>
  <c r="J22" i="2"/>
  <c r="E152" i="2"/>
  <c r="L117" i="2"/>
  <c r="E72" i="2"/>
  <c r="E22" i="2"/>
  <c r="M143" i="2"/>
  <c r="L119" i="2"/>
  <c r="F162" i="2"/>
  <c r="L23" i="2"/>
  <c r="E160" i="2"/>
  <c r="M124" i="2"/>
  <c r="L120" i="2"/>
  <c r="L116" i="2"/>
  <c r="M32" i="2"/>
  <c r="H23" i="2"/>
  <c r="M72" i="2"/>
  <c r="C160" i="2"/>
  <c r="L140" i="2"/>
  <c r="H22" i="2"/>
  <c r="L141" i="2"/>
  <c r="H152" i="2"/>
  <c r="C176" i="2" s="1"/>
  <c r="D176" i="2" s="1"/>
  <c r="I73" i="2"/>
  <c r="C162" i="2" s="1"/>
  <c r="L139" i="2"/>
  <c r="L32" i="2"/>
  <c r="I72" i="2"/>
  <c r="H153" i="2"/>
  <c r="C175" i="2" s="1"/>
  <c r="N70" i="2"/>
  <c r="O70" i="2" s="1"/>
  <c r="N68" i="2"/>
  <c r="O68" i="2" s="1"/>
  <c r="N64" i="2"/>
  <c r="O64" i="2" s="1"/>
  <c r="N66" i="2"/>
  <c r="O66" i="2" s="1"/>
  <c r="N69" i="2"/>
  <c r="O69" i="2" s="1"/>
  <c r="N65" i="2"/>
  <c r="O65" i="2" s="1"/>
  <c r="N71" i="2"/>
  <c r="O71" i="2" s="1"/>
  <c r="N67" i="2"/>
  <c r="O67" i="2" s="1"/>
  <c r="F164" i="2"/>
  <c r="L33" i="2"/>
  <c r="L132" i="2"/>
  <c r="J152" i="2"/>
  <c r="C166" i="2"/>
  <c r="E44" i="1"/>
  <c r="F25" i="1"/>
  <c r="G25" i="1" s="1"/>
  <c r="J25" i="1"/>
  <c r="F22" i="1"/>
  <c r="G22" i="1" s="1"/>
  <c r="J22" i="1"/>
  <c r="F36" i="1"/>
  <c r="W9" i="3"/>
  <c r="D12" i="7"/>
  <c r="D13" i="7" s="1"/>
  <c r="L70" i="1" l="1"/>
  <c r="C87" i="1"/>
  <c r="C177" i="2"/>
  <c r="D179" i="2"/>
  <c r="D180" i="2"/>
  <c r="L69" i="1"/>
  <c r="L74" i="1"/>
  <c r="D577" i="8"/>
  <c r="M9" i="1" s="1"/>
  <c r="L54" i="1"/>
  <c r="L65" i="1"/>
  <c r="L50" i="1"/>
  <c r="L53" i="1"/>
  <c r="L63" i="1"/>
  <c r="L62" i="1"/>
  <c r="L56" i="1"/>
  <c r="L64" i="1"/>
  <c r="L60" i="1"/>
  <c r="L67" i="1"/>
  <c r="L66" i="1"/>
  <c r="L58" i="1"/>
  <c r="L61" i="1"/>
  <c r="AA11" i="3"/>
  <c r="C90" i="1" s="1"/>
  <c r="D44" i="1"/>
  <c r="E24" i="1" s="1"/>
  <c r="J24" i="1" s="1"/>
  <c r="H44" i="1"/>
  <c r="D23" i="1" s="1"/>
  <c r="F23" i="1" s="1"/>
  <c r="G23" i="1" s="1"/>
  <c r="J34" i="1"/>
  <c r="J35" i="1" s="1"/>
  <c r="J36" i="1" s="1"/>
  <c r="J37" i="1" s="1"/>
  <c r="J38" i="1" s="1"/>
  <c r="J39" i="1" s="1"/>
  <c r="J40" i="1" s="1"/>
  <c r="J44" i="1" s="1"/>
  <c r="L59" i="1"/>
  <c r="L55" i="1"/>
  <c r="C88" i="1"/>
  <c r="L68" i="1"/>
  <c r="L52" i="1"/>
  <c r="L51" i="1"/>
  <c r="F44" i="1"/>
  <c r="C164" i="2"/>
  <c r="D578" i="8"/>
  <c r="L554" i="8"/>
  <c r="L577" i="8" s="1"/>
  <c r="M152" i="2"/>
  <c r="L153" i="2"/>
  <c r="L152" i="2"/>
  <c r="O73" i="2"/>
  <c r="N72" i="2"/>
  <c r="D15" i="7"/>
  <c r="C84" i="1" l="1"/>
  <c r="N146" i="2"/>
  <c r="E164" i="2"/>
  <c r="D175" i="2"/>
  <c r="C101" i="1"/>
  <c r="J23" i="1"/>
  <c r="M554" i="8"/>
  <c r="C86" i="1"/>
  <c r="F24" i="1"/>
  <c r="G24" i="1" s="1"/>
  <c r="D181" i="2"/>
  <c r="N131" i="2"/>
  <c r="N145" i="2"/>
  <c r="N144" i="2"/>
  <c r="N130" i="2"/>
  <c r="N113" i="2"/>
  <c r="N136" i="2"/>
  <c r="N116" i="2"/>
  <c r="N123" i="2"/>
  <c r="N120" i="2"/>
  <c r="N137" i="2"/>
  <c r="N122" i="2"/>
  <c r="N118" i="2"/>
  <c r="N141" i="2"/>
  <c r="N119" i="2"/>
  <c r="N140" i="2"/>
  <c r="N129" i="2"/>
  <c r="N133" i="2"/>
  <c r="N139" i="2"/>
  <c r="N138" i="2"/>
  <c r="N142" i="2"/>
  <c r="N121" i="2"/>
  <c r="N124" i="2"/>
  <c r="N115" i="2"/>
  <c r="N117" i="2"/>
  <c r="N114" i="2"/>
  <c r="N134" i="2"/>
  <c r="N143" i="2"/>
  <c r="N132" i="2"/>
  <c r="C98" i="1" l="1"/>
  <c r="C103" i="1" s="1"/>
  <c r="D101" i="1" s="1"/>
  <c r="C77" i="1"/>
  <c r="C93" i="1" s="1"/>
  <c r="C94" i="1" s="1"/>
  <c r="D27" i="1"/>
  <c r="F27" i="1" s="1"/>
  <c r="G27" i="1" s="1"/>
  <c r="D184" i="2"/>
  <c r="D177" i="2" s="1"/>
  <c r="M578" i="8"/>
  <c r="M577" i="8"/>
  <c r="D182" i="2"/>
  <c r="O9" i="1"/>
  <c r="C189" i="2" l="1"/>
  <c r="D185" i="2"/>
  <c r="D99" i="1"/>
  <c r="D102" i="1"/>
  <c r="D98" i="1"/>
  <c r="D100" i="1"/>
  <c r="J27" i="1"/>
  <c r="D103" i="1" l="1"/>
  <c r="D187" i="2"/>
  <c r="E18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92" authorId="0" shapeId="0" xr:uid="{01FD1F87-5CA6-D34F-A553-98B84A6BDEE9}">
      <text>
        <r>
          <rPr>
            <b/>
            <sz val="10"/>
            <color rgb="FF000000"/>
            <rFont val="Tahoma"/>
            <family val="2"/>
          </rPr>
          <t>Microsoft Office User:</t>
        </r>
        <r>
          <rPr>
            <sz val="10"/>
            <color rgb="FF000000"/>
            <rFont val="Tahoma"/>
            <family val="2"/>
          </rPr>
          <t xml:space="preserve">
</t>
        </r>
        <r>
          <rPr>
            <sz val="10"/>
            <color rgb="FF000000"/>
            <rFont val="Tahoma"/>
            <family val="2"/>
          </rPr>
          <t>UniSuper balance as of 08/05/2026 - Update quarterly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1"/>
        </ext>
      </extLst>
    </bk>
    <bk>
      <extLst>
        <ext uri="{3e2802c4-a4d2-4d8b-9148-e3be6c30e623}">
          <xlrd:rvb i="4"/>
        </ext>
      </extLst>
    </bk>
    <bk>
      <extLst>
        <ext uri="{3e2802c4-a4d2-4d8b-9148-e3be6c30e623}">
          <xlrd:rvb i="7"/>
        </ext>
      </extLst>
    </bk>
    <bk>
      <extLst>
        <ext uri="{3e2802c4-a4d2-4d8b-9148-e3be6c30e623}">
          <xlrd:rvb i="9"/>
        </ext>
      </extLst>
    </bk>
    <bk>
      <extLst>
        <ext uri="{3e2802c4-a4d2-4d8b-9148-e3be6c30e623}">
          <xlrd:rvb i="11"/>
        </ext>
      </extLst>
    </bk>
    <bk>
      <extLst>
        <ext uri="{3e2802c4-a4d2-4d8b-9148-e3be6c30e623}">
          <xlrd:rvb i="14"/>
        </ext>
      </extLst>
    </bk>
    <bk>
      <extLst>
        <ext uri="{3e2802c4-a4d2-4d8b-9148-e3be6c30e623}">
          <xlrd:rvb i="1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<sst xmlns="http://schemas.openxmlformats.org/spreadsheetml/2006/main" count="2590" uniqueCount="569">
  <si>
    <t>TIME RELATED</t>
  </si>
  <si>
    <t>BASE RATE</t>
  </si>
  <si>
    <t>PAY RELATED</t>
  </si>
  <si>
    <t>NOTES</t>
  </si>
  <si>
    <t>TAXE RELATED</t>
  </si>
  <si>
    <t>PROJECTIONS</t>
  </si>
  <si>
    <t>SAPIEN</t>
  </si>
  <si>
    <t>Days Worked</t>
  </si>
  <si>
    <t>Hours / Day</t>
  </si>
  <si>
    <t>Hours Worked </t>
  </si>
  <si>
    <t>Base Rate in AU$</t>
  </si>
  <si>
    <t>Gross Weekly income in AU$</t>
  </si>
  <si>
    <t>Net Weekly income in AU$</t>
  </si>
  <si>
    <t>Monthly Income in AU$</t>
  </si>
  <si>
    <t>Notes</t>
  </si>
  <si>
    <t>PAYG (Tax Withheld)</t>
  </si>
  <si>
    <t>PAYG (%)</t>
  </si>
  <si>
    <t>Projection Net Weekly income in AU$</t>
  </si>
  <si>
    <t>Holiday France</t>
  </si>
  <si>
    <t>/</t>
  </si>
  <si>
    <t>2 PaySlips (Admin Issue)</t>
  </si>
  <si>
    <t>AVERAGE </t>
  </si>
  <si>
    <t>TOTAL </t>
  </si>
  <si>
    <t>1st week - Worked 3days</t>
  </si>
  <si>
    <t>Left - 2days GoldCoast</t>
  </si>
  <si>
    <t>Public Holiday - 1day</t>
  </si>
  <si>
    <t>Left - 3days France</t>
  </si>
  <si>
    <t>Left - Full week France</t>
  </si>
  <si>
    <t>1s week of Year - No work - 1day</t>
  </si>
  <si>
    <t>SAPIEN INCOME TRACKER</t>
  </si>
  <si>
    <t>iCloud</t>
  </si>
  <si>
    <t>ChatGPT</t>
  </si>
  <si>
    <t>Total</t>
  </si>
  <si>
    <t xml:space="preserve">Expenses Per Month </t>
  </si>
  <si>
    <t>Rent</t>
  </si>
  <si>
    <t>Groceries</t>
  </si>
  <si>
    <t>Amount </t>
  </si>
  <si>
    <t>Frequency</t>
  </si>
  <si>
    <t>Next Due Date</t>
  </si>
  <si>
    <t>Type</t>
  </si>
  <si>
    <t>Split</t>
  </si>
  <si>
    <t>Pay Cycle (Tuesday)</t>
  </si>
  <si>
    <t>Current Statut </t>
  </si>
  <si>
    <t>Monthly</t>
  </si>
  <si>
    <t>Subscription</t>
  </si>
  <si>
    <t>Solo to Bill</t>
  </si>
  <si>
    <t>Not Funded</t>
  </si>
  <si>
    <t>Optus</t>
  </si>
  <si>
    <t>Bill</t>
  </si>
  <si>
    <t>Reimbursement </t>
  </si>
  <si>
    <t>Google One</t>
  </si>
  <si>
    <t>Student Loan</t>
  </si>
  <si>
    <t>Icloud</t>
  </si>
  <si>
    <t>Weekly</t>
  </si>
  <si>
    <t>Solo to Lily</t>
  </si>
  <si>
    <t>Groceries (Joint Account)</t>
  </si>
  <si>
    <t>Solo to Joint</t>
  </si>
  <si>
    <t>Groce./Activ.</t>
  </si>
  <si>
    <t>Solo to French Acc</t>
  </si>
  <si>
    <t>Recurring Expenses</t>
  </si>
  <si>
    <t>Next Pay Day</t>
  </si>
  <si>
    <t>Goal</t>
  </si>
  <si>
    <t>Targeted Date</t>
  </si>
  <si>
    <t>Weeks Left</t>
  </si>
  <si>
    <t>Progress (%)</t>
  </si>
  <si>
    <t>Priority</t>
  </si>
  <si>
    <t>Short Term</t>
  </si>
  <si>
    <t>High</t>
  </si>
  <si>
    <t>Medium</t>
  </si>
  <si>
    <t>Medium Term</t>
  </si>
  <si>
    <t>Phiphi Reimbursement </t>
  </si>
  <si>
    <t>House</t>
  </si>
  <si>
    <t>Long Term</t>
  </si>
  <si>
    <t>Low</t>
  </si>
  <si>
    <t>Goal And Timelines</t>
  </si>
  <si>
    <t>Current Amount</t>
  </si>
  <si>
    <t>Targeted Amount</t>
  </si>
  <si>
    <t>Remaining Amount</t>
  </si>
  <si>
    <t>Weekly Save Needed</t>
  </si>
  <si>
    <t>Expenses Per Week</t>
  </si>
  <si>
    <t>Date</t>
  </si>
  <si>
    <t>WestPac</t>
  </si>
  <si>
    <t>Commonwealth Bank</t>
  </si>
  <si>
    <t>LaBanque Postale</t>
  </si>
  <si>
    <t>Choice</t>
  </si>
  <si>
    <t>eSaver</t>
  </si>
  <si>
    <t>Compte Courant </t>
  </si>
  <si>
    <t>Livret Jeune</t>
  </si>
  <si>
    <t>24/1/2026 - 3pm</t>
  </si>
  <si>
    <t>25/1/2026 - 5pm</t>
  </si>
  <si>
    <t>Net Worth</t>
  </si>
  <si>
    <t>Where ?</t>
  </si>
  <si>
    <t>Westpac Choice</t>
  </si>
  <si>
    <t xml:space="preserve">Compte Courant </t>
  </si>
  <si>
    <t xml:space="preserve">Joint Acc </t>
  </si>
  <si>
    <t>EUR To AUD</t>
  </si>
  <si>
    <t>EUR</t>
  </si>
  <si>
    <t>AUD</t>
  </si>
  <si>
    <t>27/1/26 -&gt; 2/2/26</t>
  </si>
  <si>
    <t>Reimbursment Lily</t>
  </si>
  <si>
    <t>Bills Contribution</t>
  </si>
  <si>
    <t>Joint Account Buffer</t>
  </si>
  <si>
    <t>Invest Bitcoin</t>
  </si>
  <si>
    <t>Flight Ticket Sydney</t>
  </si>
  <si>
    <t>Food at Work</t>
  </si>
  <si>
    <t xml:space="preserve">Buffer for Upcoming Bills </t>
  </si>
  <si>
    <t>Buffer for Dentist</t>
  </si>
  <si>
    <t>Buffer for Emerg. Cash</t>
  </si>
  <si>
    <t>3/2/26 -&gt; 9/2/26</t>
  </si>
  <si>
    <t xml:space="preserve">Fitness weights </t>
  </si>
  <si>
    <t>1/2/2026 - 3pm</t>
  </si>
  <si>
    <t>5/2/2026 - 7am</t>
  </si>
  <si>
    <t>10/2/26 -&gt; 16/2/26</t>
  </si>
  <si>
    <t>Student Loan/Google One</t>
  </si>
  <si>
    <t xml:space="preserve">Weeks Count </t>
  </si>
  <si>
    <t>1st</t>
  </si>
  <si>
    <t>2nd</t>
  </si>
  <si>
    <t>3rd</t>
  </si>
  <si>
    <t>4th</t>
  </si>
  <si>
    <t>5th</t>
  </si>
  <si>
    <t>6th</t>
  </si>
  <si>
    <t>7th</t>
  </si>
  <si>
    <t>8th</t>
  </si>
  <si>
    <t>9th</t>
  </si>
  <si>
    <t>10th</t>
  </si>
  <si>
    <t>11th</t>
  </si>
  <si>
    <t>12th</t>
  </si>
  <si>
    <t>13th</t>
  </si>
  <si>
    <t>14th</t>
  </si>
  <si>
    <t>15th</t>
  </si>
  <si>
    <t>16th</t>
  </si>
  <si>
    <t>17th</t>
  </si>
  <si>
    <t>18th</t>
  </si>
  <si>
    <t>19th</t>
  </si>
  <si>
    <t>20th</t>
  </si>
  <si>
    <t>21st</t>
  </si>
  <si>
    <t>22nd</t>
  </si>
  <si>
    <t>23rd</t>
  </si>
  <si>
    <t>Amount Invested</t>
  </si>
  <si>
    <t>Amount Bitcoin</t>
  </si>
  <si>
    <t>Current Price</t>
  </si>
  <si>
    <t>Bitcoin Price</t>
  </si>
  <si>
    <t>P/L</t>
  </si>
  <si>
    <t>ROI</t>
  </si>
  <si>
    <t>BITCOIN INVESTMENT</t>
  </si>
  <si>
    <t>Total BTC Bought (Buy)</t>
  </si>
  <si>
    <t>Total BTC Owned (ALL)</t>
  </si>
  <si>
    <t>Current Price / Value</t>
  </si>
  <si>
    <t>Holiday Conjurong Point</t>
  </si>
  <si>
    <t>24th</t>
  </si>
  <si>
    <t>Left - Full week Conjurong Point</t>
  </si>
  <si>
    <t>Transport Miky</t>
  </si>
  <si>
    <t>Vape Sydney</t>
  </si>
  <si>
    <t>Alchool IGA</t>
  </si>
  <si>
    <t>19/2/2026 - 12pm</t>
  </si>
  <si>
    <t>Youtube Premium</t>
  </si>
  <si>
    <t>Left - 1 day Conjurong Point</t>
  </si>
  <si>
    <t>25th</t>
  </si>
  <si>
    <t>26th</t>
  </si>
  <si>
    <t>17/2/26 -&gt; 23/2/26</t>
  </si>
  <si>
    <t>24/2/26 -&gt; 2/3/26</t>
  </si>
  <si>
    <t>23/2/2026 - 6pm</t>
  </si>
  <si>
    <t xml:space="preserve">Phiphi's Contribution </t>
  </si>
  <si>
    <t>Eur</t>
  </si>
  <si>
    <t>Aud</t>
  </si>
  <si>
    <t>My contribution</t>
  </si>
  <si>
    <t xml:space="preserve">Eur </t>
  </si>
  <si>
    <t>Prélévement</t>
  </si>
  <si>
    <t>Rule</t>
  </si>
  <si>
    <t>Loan Total Value / Remaining</t>
  </si>
  <si>
    <t>Total / Remaining</t>
  </si>
  <si>
    <t>27th</t>
  </si>
  <si>
    <t>28th</t>
  </si>
  <si>
    <t>29th</t>
  </si>
  <si>
    <t>30th</t>
  </si>
  <si>
    <t>Sick - 1 day (Flu)</t>
  </si>
  <si>
    <t>Microsoft Office</t>
  </si>
  <si>
    <t>Tip Uber</t>
  </si>
  <si>
    <t>Groceries (Sea Food)</t>
  </si>
  <si>
    <t>Groceries (Coles)</t>
  </si>
  <si>
    <t>Groceries (Aldi)</t>
  </si>
  <si>
    <t>Food at Work (ZanZan)</t>
  </si>
  <si>
    <t>Microsoft Subscription</t>
  </si>
  <si>
    <t>ChatGPT Subscriptions</t>
  </si>
  <si>
    <t>UberEats</t>
  </si>
  <si>
    <t>Optus Subscriptions</t>
  </si>
  <si>
    <t>Groceries (Pastry)</t>
  </si>
  <si>
    <t>3/3/26 -&gt; 9/3/26</t>
  </si>
  <si>
    <t>10/3/26 -&gt; 16/3/26</t>
  </si>
  <si>
    <t>Food at Work (WoolWorths)</t>
  </si>
  <si>
    <t>Flowers at Coles for Lily</t>
  </si>
  <si>
    <t>12/3/2026 - 6pm</t>
  </si>
  <si>
    <t>French  Restaurant</t>
  </si>
  <si>
    <t>Transfer to GoalSaving Account</t>
  </si>
  <si>
    <t>Transfer to NetSaver Account</t>
  </si>
  <si>
    <t>Week</t>
  </si>
  <si>
    <t xml:space="preserve">Date </t>
  </si>
  <si>
    <t>Source Account</t>
  </si>
  <si>
    <t>Destination Account</t>
  </si>
  <si>
    <t>Amount</t>
  </si>
  <si>
    <t>Description</t>
  </si>
  <si>
    <t>Reimboursement Lily</t>
  </si>
  <si>
    <t>Transfer To Joint Account</t>
  </si>
  <si>
    <t>BTC Buy</t>
  </si>
  <si>
    <t>Pay Sapien</t>
  </si>
  <si>
    <t>Debt Repayment</t>
  </si>
  <si>
    <t>Sandwich Mama</t>
  </si>
  <si>
    <t>Income</t>
  </si>
  <si>
    <t>Sapien</t>
  </si>
  <si>
    <t>WestPac Everyday</t>
  </si>
  <si>
    <t>Lily</t>
  </si>
  <si>
    <t>Joint Account</t>
  </si>
  <si>
    <t>OKX</t>
  </si>
  <si>
    <t>WestPac Savings</t>
  </si>
  <si>
    <t>LaBanquePostale</t>
  </si>
  <si>
    <t>Salary</t>
  </si>
  <si>
    <t>Housing</t>
  </si>
  <si>
    <t>Debt</t>
  </si>
  <si>
    <t>Investment</t>
  </si>
  <si>
    <t>Transport</t>
  </si>
  <si>
    <t>Leisure</t>
  </si>
  <si>
    <t>FLOW OF THE WEEK</t>
  </si>
  <si>
    <t>External</t>
  </si>
  <si>
    <t>Category (Economic Role)</t>
  </si>
  <si>
    <t>Savings</t>
  </si>
  <si>
    <t>Buffer (To spend)</t>
  </si>
  <si>
    <t>Total Reccuring Expenses</t>
  </si>
  <si>
    <t>Total Investing</t>
  </si>
  <si>
    <t>Dentist</t>
  </si>
  <si>
    <t>Sandwich at Work</t>
  </si>
  <si>
    <t>Pizza LaTaverna</t>
  </si>
  <si>
    <t>Milshake Zanzanz</t>
  </si>
  <si>
    <t>Vape</t>
  </si>
  <si>
    <t>Bills Contribution (Next Week)</t>
  </si>
  <si>
    <t>Reimboursement Lily (Next Week)</t>
  </si>
  <si>
    <t>Transfer To Joint Account (Next Week)</t>
  </si>
  <si>
    <t>Water Bottle Airport</t>
  </si>
  <si>
    <t>Uber Work</t>
  </si>
  <si>
    <t>Uber Home</t>
  </si>
  <si>
    <t>Zanzanz (FoodWork)</t>
  </si>
  <si>
    <t xml:space="preserve">Kmart </t>
  </si>
  <si>
    <t>7eleven Slurppy</t>
  </si>
  <si>
    <t>No pay</t>
  </si>
  <si>
    <t>17/3/26 -&gt; 23/3/26</t>
  </si>
  <si>
    <t>Food at Work (Bunnings)</t>
  </si>
  <si>
    <t>OfficeWorks Print (Work) x2</t>
  </si>
  <si>
    <t>Job</t>
  </si>
  <si>
    <t>Food at Work (Coffee Shop)</t>
  </si>
  <si>
    <t>Food at Work (Vietnamese)</t>
  </si>
  <si>
    <t>Food at Work + Tam (Coffee Shop)</t>
  </si>
  <si>
    <t>Total Savings</t>
  </si>
  <si>
    <t>Total Personnal Expenses</t>
  </si>
  <si>
    <t>-</t>
  </si>
  <si>
    <t>TOTAL</t>
  </si>
  <si>
    <t>Pay</t>
  </si>
  <si>
    <t>24/3/26 -&gt; 30/3/26</t>
  </si>
  <si>
    <t>21/3/2026 - 4pm</t>
  </si>
  <si>
    <t>Transfer to NetSaver Account (ASX)</t>
  </si>
  <si>
    <t>SUPERANNUATION</t>
  </si>
  <si>
    <t>UniSuper</t>
  </si>
  <si>
    <t>NEW FINANCIAL YEAR</t>
  </si>
  <si>
    <t>$245 fees (Rent+Transport) / $259.46 Net</t>
  </si>
  <si>
    <t>$245 fees (Rent+Transport) / $439.41 Net</t>
  </si>
  <si>
    <t>$245 fees (Rent+Transport) / $655.75 Net</t>
  </si>
  <si>
    <t>$245 fees (Rent+Transport) / $689.88 Net</t>
  </si>
  <si>
    <t xml:space="preserve">5 Extra Hours during the week </t>
  </si>
  <si>
    <t>Fired on the Thursday at lunchtime</t>
  </si>
  <si>
    <t>Driscolls</t>
  </si>
  <si>
    <t>1st + 2nd</t>
  </si>
  <si>
    <t>Tamarua</t>
  </si>
  <si>
    <t>Driscoll's INCOME TRACKER (Farm Mandatory Job)</t>
  </si>
  <si>
    <t>Tamarua (Perth) INCOME TRACKER (Farm Mandatory Job)</t>
  </si>
  <si>
    <t>3rd + 4th</t>
  </si>
  <si>
    <t>Consolidated Carpentry INCOME TRACKER</t>
  </si>
  <si>
    <t>Consolidated Carpentry</t>
  </si>
  <si>
    <t>6 Extra Hours During the week</t>
  </si>
  <si>
    <t>1 Extra Hour during the week</t>
  </si>
  <si>
    <t>17.5 Extra Hours during the week</t>
  </si>
  <si>
    <t>2.5 Extra Hours during the week</t>
  </si>
  <si>
    <t>9 Extra Hours During the week</t>
  </si>
  <si>
    <t>14 Extra Hours During the week</t>
  </si>
  <si>
    <t>27 Extra Hours During the week</t>
  </si>
  <si>
    <t>5 Extra Hours during the week</t>
  </si>
  <si>
    <t>TRANSITION TO ABN REGIME</t>
  </si>
  <si>
    <t>Tax to Pay on ABN</t>
  </si>
  <si>
    <t>5.25 Extra Hours during the week (No extra Rate)</t>
  </si>
  <si>
    <t>87.25 Extra Hours in Total</t>
  </si>
  <si>
    <t>PadBuilt INCOME TRACKER</t>
  </si>
  <si>
    <t>Tax To Pay on ABN</t>
  </si>
  <si>
    <t>Modelling INCOME TRACKER</t>
  </si>
  <si>
    <t>Net Fornight income in AU$</t>
  </si>
  <si>
    <t>Gross Fortnight income in AU$</t>
  </si>
  <si>
    <t>BTC VALUE REAL TIME</t>
  </si>
  <si>
    <t>&lt;- AVERAGE PRICE BOUGHT</t>
  </si>
  <si>
    <t xml:space="preserve">Vape </t>
  </si>
  <si>
    <t>PocketSmith Sub.</t>
  </si>
  <si>
    <t>Bank</t>
  </si>
  <si>
    <t>LaBanquePoste CC</t>
  </si>
  <si>
    <t>26/3/2026 - 6pm</t>
  </si>
  <si>
    <t>Food Bunnings Work</t>
  </si>
  <si>
    <t>Work Furniture (To be paid back by company)</t>
  </si>
  <si>
    <t>Total Net Worth</t>
  </si>
  <si>
    <t>PadBulit</t>
  </si>
  <si>
    <t>EveryDayMood</t>
  </si>
  <si>
    <t>31st</t>
  </si>
  <si>
    <t>32nd</t>
  </si>
  <si>
    <t>33rd</t>
  </si>
  <si>
    <t>Zanzanz food work</t>
  </si>
  <si>
    <t>28/3/2026 - 11am</t>
  </si>
  <si>
    <t>Bitcoin</t>
  </si>
  <si>
    <r>
      <t xml:space="preserve">Public Holiday - 1day / +44$ Travel Allowance = </t>
    </r>
    <r>
      <rPr>
        <b/>
        <sz val="10"/>
        <color theme="1"/>
        <rFont val="Helvetica Neue"/>
        <family val="2"/>
      </rPr>
      <t xml:space="preserve">$1057.92 </t>
    </r>
  </si>
  <si>
    <t>Cash Buffer Next Bills</t>
  </si>
  <si>
    <t>Coles</t>
  </si>
  <si>
    <t>Amazon</t>
  </si>
  <si>
    <t>CommBank Net Bank</t>
  </si>
  <si>
    <t>Miky Transport</t>
  </si>
  <si>
    <t>31/3/26 -&gt; 6/4/26</t>
  </si>
  <si>
    <t>Avad Recruitment INCOME TRACKER</t>
  </si>
  <si>
    <t>Avad Recruitment</t>
  </si>
  <si>
    <t>Net Weekly Income</t>
  </si>
  <si>
    <t>5th + 6th</t>
  </si>
  <si>
    <t>29/3/2026 - 2pm</t>
  </si>
  <si>
    <t>With extra hours</t>
  </si>
  <si>
    <t>Gross Weekly in AU$</t>
  </si>
  <si>
    <t>Monthly Income</t>
  </si>
  <si>
    <t>Travel Allowance : $87.76</t>
  </si>
  <si>
    <t>Travel Allowance : $65.82</t>
  </si>
  <si>
    <t>=</t>
  </si>
  <si>
    <t>Travel Allowance : $21.94</t>
  </si>
  <si>
    <t>Travel Allowance : $263.28</t>
  </si>
  <si>
    <t>Avad Recruitment period reconstructed from recovered payslips.
YTD values may be less reliable due to FY crossover and payroll formatting. Use individual payslips as source of truth.</t>
  </si>
  <si>
    <t>2023-2024</t>
  </si>
  <si>
    <t>Gross Pay</t>
  </si>
  <si>
    <t>Net Pay</t>
  </si>
  <si>
    <t>2024-2025</t>
  </si>
  <si>
    <t>2025-2026</t>
  </si>
  <si>
    <t>Tax Paid</t>
  </si>
  <si>
    <t>On ABN</t>
  </si>
  <si>
    <t>Joint Expenses Acc</t>
  </si>
  <si>
    <t>Daily Spending Acc</t>
  </si>
  <si>
    <t>Planned Expenses Acc</t>
  </si>
  <si>
    <t>Investing Cash Acc</t>
  </si>
  <si>
    <t>Emergency Fund Acc</t>
  </si>
  <si>
    <t>6/4/2026 - 10am</t>
  </si>
  <si>
    <t>ACTUAL BALANCE=</t>
  </si>
  <si>
    <t>Bank Statut (including Joint Acc)</t>
  </si>
  <si>
    <t>Bank Statut (Excluding Joint)</t>
  </si>
  <si>
    <t>Chat GPT</t>
  </si>
  <si>
    <t>Microsoft</t>
  </si>
  <si>
    <t>Earings Bosco</t>
  </si>
  <si>
    <t>7/4/26 -&gt; 13/4/26</t>
  </si>
  <si>
    <r>
      <t xml:space="preserve">$395.52 (reimboursement) / + $44 travel allowance = </t>
    </r>
    <r>
      <rPr>
        <b/>
        <sz val="10"/>
        <color theme="1"/>
        <rFont val="Helvetica Neue"/>
        <family val="2"/>
      </rPr>
      <t>$1580.19</t>
    </r>
  </si>
  <si>
    <t>Repayment on investing account</t>
  </si>
  <si>
    <t>Investing Account</t>
  </si>
  <si>
    <t>Total Household Expenses</t>
  </si>
  <si>
    <t>8/4/2026 - 6pm</t>
  </si>
  <si>
    <t>Buffer for Planned Expenses Acc</t>
  </si>
  <si>
    <t>Buffer for Investing Acc</t>
  </si>
  <si>
    <t>Money To Move in Sydney</t>
  </si>
  <si>
    <t>Cash Buffer (Stage 2)</t>
  </si>
  <si>
    <t>Shoes Op Shop</t>
  </si>
  <si>
    <t>Kmart work clothes</t>
  </si>
  <si>
    <t>Invest ASX</t>
  </si>
  <si>
    <t>BetaShares</t>
  </si>
  <si>
    <t>Sushi at Shooping Center</t>
  </si>
  <si>
    <t>Aldi Food</t>
  </si>
  <si>
    <t>Shares Amount</t>
  </si>
  <si>
    <t>BGBL INVESTMENT (ASX)</t>
  </si>
  <si>
    <t>BGBL VALUE REAL TIME</t>
  </si>
  <si>
    <t>Curent Price / Value</t>
  </si>
  <si>
    <t>VGE INVESTMENT (ASX)</t>
  </si>
  <si>
    <t xml:space="preserve">Public Holiday - 1day </t>
  </si>
  <si>
    <t>14/4/26 -&gt; 20/4/26</t>
  </si>
  <si>
    <t>Bills contribution</t>
  </si>
  <si>
    <t>Repayment of Investing Account</t>
  </si>
  <si>
    <t>Investing / Repayment</t>
  </si>
  <si>
    <t>16/4/2026 - 7pm</t>
  </si>
  <si>
    <t>34th</t>
  </si>
  <si>
    <t>35th</t>
  </si>
  <si>
    <t>36th</t>
  </si>
  <si>
    <t>37th</t>
  </si>
  <si>
    <t>38th</t>
  </si>
  <si>
    <t>39th</t>
  </si>
  <si>
    <t>Overview Income / Tax / Super</t>
  </si>
  <si>
    <t xml:space="preserve">Invest ETF </t>
  </si>
  <si>
    <t>INVESTING</t>
  </si>
  <si>
    <t>Total Score</t>
  </si>
  <si>
    <t>Critère</t>
  </si>
  <si>
    <t>Poids</t>
  </si>
  <si>
    <t>Score pondéré</t>
  </si>
  <si>
    <t>Verdict</t>
  </si>
  <si>
    <t>Qualité du business</t>
  </si>
  <si>
    <t>Position concurrentielle</t>
  </si>
  <si>
    <t>Management &amp; allocation du capital</t>
  </si>
  <si>
    <t>Qualité financière</t>
  </si>
  <si>
    <t>Résilience &amp; risques</t>
  </si>
  <si>
    <t>Valorisation</t>
  </si>
  <si>
    <t>Moyen faible</t>
  </si>
  <si>
    <t>• Thèse non écrite avant achat</t>
  </si>
  <si>
    <t>• Pas de marge de sécurité</t>
  </si>
  <si>
    <t>• Management douteux ou destructeur de capital</t>
  </si>
  <si>
    <t>• Bilan dangereux / dette excessive</t>
  </si>
  <si>
    <t>• Business non compris</t>
  </si>
  <si>
    <t>HARD STOPS</t>
  </si>
  <si>
    <t>RÈGLE : je n’achète pas une baisse. J’achète une thèse, un business et un prix.</t>
  </si>
  <si>
    <t>&lt;60 = Non pour l’instant</t>
  </si>
  <si>
    <t>60-69 = Moyen / prix très important</t>
  </si>
  <si>
    <t>Décision</t>
  </si>
  <si>
    <t>70-79 = Bon dossier</t>
  </si>
  <si>
    <t>Si Oui, pas d’achat</t>
  </si>
  <si>
    <t>Red Flag fatale ?</t>
  </si>
  <si>
    <t>80+ = Très bon dossier</t>
  </si>
  <si>
    <t>SEUILS</t>
  </si>
  <si>
    <t>Achat possible</t>
  </si>
  <si>
    <t>Qualité + prix</t>
  </si>
  <si>
    <t>Très bon</t>
  </si>
  <si>
    <t>Le prix payé laisse-t-il une marge d’erreur ?</t>
  </si>
  <si>
    <t>Candidat sérieux</t>
  </si>
  <si>
    <t>Thèse solide</t>
  </si>
  <si>
    <t>Bon</t>
  </si>
  <si>
    <t>Peut-elle absorber un choc sans casser la thèse ?</t>
  </si>
  <si>
    <t>Creuser davantage</t>
  </si>
  <si>
    <t>Base correcte</t>
  </si>
  <si>
    <t>Acceptable</t>
  </si>
  <si>
    <t>Le profit, le cash et le bilan sont-ils solides ?</t>
  </si>
  <si>
    <t>Watchlist seulement</t>
  </si>
  <si>
    <t>Peu convaincant</t>
  </si>
  <si>
    <t>Le CEO/board gèrent-ils bien le capital ?</t>
  </si>
  <si>
    <t>Écarter</t>
  </si>
  <si>
    <t>Problème sérieux</t>
  </si>
  <si>
    <t>Faible</t>
  </si>
  <si>
    <t>Pourquoi elle plutôt qu’un concurrent ?</t>
  </si>
  <si>
    <t>Stop</t>
  </si>
  <si>
    <t>Faiblesse majeure / incompréhension</t>
  </si>
  <si>
    <t>Très mauvais</t>
  </si>
  <si>
    <t>Action</t>
  </si>
  <si>
    <t>Lecture</t>
  </si>
  <si>
    <t>Sens</t>
  </si>
  <si>
    <t>Score</t>
  </si>
  <si>
    <t>Question clé</t>
  </si>
  <si>
    <t>Passage</t>
  </si>
  <si>
    <t>Score
(0-5)</t>
  </si>
  <si>
    <t>GUIDE RAPIDE</t>
  </si>
  <si>
    <t>SCORECARD</t>
  </si>
  <si>
    <t>BARÈME / RÈGLES</t>
  </si>
  <si>
    <t>STOCK PICKING SCORECARD</t>
  </si>
  <si>
    <t>Le business est-il compréhensible, utile et défendable?</t>
  </si>
  <si>
    <t>Non</t>
  </si>
  <si>
    <t>21/4/26 -&gt; 27/4/26</t>
  </si>
  <si>
    <t>Flower Lily</t>
  </si>
  <si>
    <t>Repayment Invest Acc</t>
  </si>
  <si>
    <t>22/4/2026 - 8pm</t>
  </si>
  <si>
    <t>CSL</t>
  </si>
  <si>
    <t>CSL INVESTMENT (ASX)</t>
  </si>
  <si>
    <t xml:space="preserve">Wealth Repartition </t>
  </si>
  <si>
    <t>Future Spending</t>
  </si>
  <si>
    <t xml:space="preserve">Slurrpy </t>
  </si>
  <si>
    <t>CRYPTOCURRENCY</t>
  </si>
  <si>
    <t>ASX ETF</t>
  </si>
  <si>
    <t>ASX STOCK PICKING</t>
  </si>
  <si>
    <t>VOO INVESTMENT (S&amp;P 500)</t>
  </si>
  <si>
    <t>USD/AUD</t>
  </si>
  <si>
    <t>Amount shares</t>
  </si>
  <si>
    <t>Share Price</t>
  </si>
  <si>
    <t>Total Bought (Buy)</t>
  </si>
  <si>
    <t xml:space="preserve">Total Bought </t>
  </si>
  <si>
    <t>Amount Shares</t>
  </si>
  <si>
    <t>WALL STREET STOCK PICKING</t>
  </si>
  <si>
    <t>Current Price / Value in USD</t>
  </si>
  <si>
    <t>Current Price / Value in AUD</t>
  </si>
  <si>
    <t>Youtube Premium (late)</t>
  </si>
  <si>
    <t>Household Expenses</t>
  </si>
  <si>
    <t>Funded until June 20</t>
  </si>
  <si>
    <t>26/4/2026 - 12pm</t>
  </si>
  <si>
    <t>Claude IA</t>
  </si>
  <si>
    <t>Flow Type</t>
  </si>
  <si>
    <t>Real Expenses</t>
  </si>
  <si>
    <t>Internal Transfers</t>
  </si>
  <si>
    <t>Saving Allocation</t>
  </si>
  <si>
    <t>Investments</t>
  </si>
  <si>
    <t>Debt Repayments</t>
  </si>
  <si>
    <t>True Weekly Surplus</t>
  </si>
  <si>
    <t>WEEKLY SUMMARY</t>
  </si>
  <si>
    <t>Real Expense Amt</t>
  </si>
  <si>
    <t>Internal Transfer Amt</t>
  </si>
  <si>
    <t>Saving Allocation Amt</t>
  </si>
  <si>
    <t>Investment Amt</t>
  </si>
  <si>
    <t>Debt Repayment Amt</t>
  </si>
  <si>
    <t>Joint Account Amt</t>
  </si>
  <si>
    <t>AVERAGE</t>
  </si>
  <si>
    <t>Income Amt</t>
  </si>
  <si>
    <t>Internal Transfer</t>
  </si>
  <si>
    <t>Groceries ( short on joint account )</t>
  </si>
  <si>
    <t>Total Joint Account</t>
  </si>
  <si>
    <t>Total Recurring Expenses</t>
  </si>
  <si>
    <t>Total Debt Repayments</t>
  </si>
  <si>
    <t>Total Personal Expenses</t>
  </si>
  <si>
    <t>TRUE WEEKLY SURPLUS</t>
  </si>
  <si>
    <t>Recurring Exp.</t>
  </si>
  <si>
    <t>Personal Exp.</t>
  </si>
  <si>
    <t>(Future Week 21)</t>
  </si>
  <si>
    <t>(Future Week 22)</t>
  </si>
  <si>
    <t>(Future Week 23)</t>
  </si>
  <si>
    <t>Recurring Expense</t>
  </si>
  <si>
    <t>Personal Expense</t>
  </si>
  <si>
    <t>Review</t>
  </si>
  <si>
    <t>28/4/26 -&gt; 4/5/26</t>
  </si>
  <si>
    <t>Invest ETF</t>
  </si>
  <si>
    <t>Invest BTC</t>
  </si>
  <si>
    <t>28/4/2026 - 9pm</t>
  </si>
  <si>
    <t>Subscriptions Buffer</t>
  </si>
  <si>
    <t>5/5/26 -&gt; 11/5/26</t>
  </si>
  <si>
    <t>9/6/26 -&gt; 15/6/26</t>
  </si>
  <si>
    <t>2/6/26 -&gt; 8/6/26</t>
  </si>
  <si>
    <t>26/5/26 -&gt; 1/6/26</t>
  </si>
  <si>
    <t>19/5/26 -&gt; 25/5/26</t>
  </si>
  <si>
    <t>12/5/26 -&gt; 18/5/26</t>
  </si>
  <si>
    <t>Food/Drink</t>
  </si>
  <si>
    <t>Food at Work + Milshake Abdul</t>
  </si>
  <si>
    <t>Repayment</t>
  </si>
  <si>
    <t>4/5/2026 - 7am</t>
  </si>
  <si>
    <t>Investing BTC / ETF</t>
  </si>
  <si>
    <t>Optus Subscription</t>
  </si>
  <si>
    <t>Coles Food</t>
  </si>
  <si>
    <t>6/5/2026 - 7pm</t>
  </si>
  <si>
    <t>PAYG Withheld</t>
  </si>
  <si>
    <t>PAYG</t>
  </si>
  <si>
    <t>PadBuilt (ABN)</t>
  </si>
  <si>
    <t>ABN</t>
  </si>
  <si>
    <t>PROJ.</t>
  </si>
  <si>
    <t>Income Tax</t>
  </si>
  <si>
    <t>Medicare Levy</t>
  </si>
  <si>
    <t>ESTIMATED REFUND</t>
  </si>
  <si>
    <t>owed</t>
  </si>
  <si>
    <t>TAX PROJECTION FY 2025-2026</t>
  </si>
  <si>
    <t>Source</t>
  </si>
  <si>
    <t>Gross</t>
  </si>
  <si>
    <t>Tax Paid / Owed</t>
  </si>
  <si>
    <t>Modelling (ABN)</t>
  </si>
  <si>
    <t>SAPIEN (Wk 1-33)</t>
  </si>
  <si>
    <t>TOTAL GROSS</t>
  </si>
  <si>
    <t>PAYG paid</t>
  </si>
  <si>
    <t>ATO Resident Rates</t>
  </si>
  <si>
    <t>LITO (credit)</t>
  </si>
  <si>
    <t>Low Income Offset</t>
  </si>
  <si>
    <t>TAX OWED</t>
  </si>
  <si>
    <t>paid</t>
  </si>
  <si>
    <t>Tax Owed</t>
  </si>
  <si>
    <t xml:space="preserve">Effective rate: </t>
  </si>
  <si>
    <t>Emergency Fund</t>
  </si>
  <si>
    <t>BetaShares / OKX</t>
  </si>
  <si>
    <t>Superannuation</t>
  </si>
  <si>
    <t>Liquid Net Worth</t>
  </si>
  <si>
    <t>Claude AI</t>
  </si>
  <si>
    <t>TRUE WEEKLY SURPLUS W/O SAVINGS</t>
  </si>
  <si>
    <t>True Surplus W/O Savings</t>
  </si>
  <si>
    <t>ETF Betashares</t>
  </si>
  <si>
    <t>ETF Stake</t>
  </si>
  <si>
    <t>Operational Cash Flow</t>
  </si>
  <si>
    <t>Money Flow Repartition</t>
  </si>
  <si>
    <t>Food at Work (13/5)</t>
  </si>
  <si>
    <t>Food at Work (12/5)</t>
  </si>
  <si>
    <t xml:space="preserve">Bills contribution </t>
  </si>
  <si>
    <t>13/5/2026 - 8pm</t>
  </si>
  <si>
    <t>SAPIEN (Proj. Wk 35-39)</t>
  </si>
  <si>
    <t>Resident | ATO Stage 3 | No deductions | SAPIEN Wk 35-39 projected</t>
  </si>
  <si>
    <t>Grocery Shopping</t>
  </si>
  <si>
    <t>Buffer for Sydney Moving</t>
  </si>
  <si>
    <t>17/5/2026 - 7pm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</si>
</sst>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4" formatCode="_(&quot;$&quot;* #,##0.00_);_(&quot;$&quot;* \(#,##0.00\);_(&quot;$&quot;* &quot;-&quot;??_);_(@_)"/>
    <numFmt numFmtId="164" formatCode="&quot;$&quot;#,##0.00"/>
    <numFmt numFmtId="165" formatCode="0.000%"/>
    <numFmt numFmtId="166" formatCode="&quot;$&quot;#,##0"/>
    <numFmt numFmtId="167" formatCode="_([$€-2]\ * #,##0.00_);_([$€-2]\ * \(#,##0.00\);_([$€-2]\ * &quot;-&quot;??_);_(@_)"/>
    <numFmt numFmtId="168" formatCode="_-[$$-C09]* #,##0.00_-;\-[$$-C09]* #,##0.00_-;_-[$$-C09]* &quot;-&quot;??_-;_-@_-"/>
    <numFmt numFmtId="169" formatCode="0.00000000"/>
    <numFmt numFmtId="170" formatCode="0.00000"/>
    <numFmt numFmtId="171" formatCode="0.0"/>
    <numFmt numFmtId="172" formatCode="&quot;$&quot;#,##0.00;\(&quot;$&quot;#,##0.00\);\-"/>
    <numFmt numFmtId="173" formatCode="0.0%"/>
  </numFmts>
  <fonts count="78">
    <font>
      <sz val="12"/>
      <color theme="1"/>
      <name val="Aptos Narrow"/>
      <family val="2"/>
      <scheme val="minor"/>
    </font>
    <font>
      <sz val="12"/>
      <color theme="1"/>
      <name val="Aptos Narrow"/>
      <family val="2"/>
      <scheme val="minor"/>
    </font>
    <font>
      <b/>
      <sz val="12"/>
      <color theme="1"/>
      <name val="Aptos Narrow"/>
      <family val="2"/>
      <scheme val="minor"/>
    </font>
    <font>
      <sz val="12"/>
      <color theme="1"/>
      <name val="Helvetica"/>
      <family val="2"/>
    </font>
    <font>
      <sz val="10"/>
      <color rgb="FF000000"/>
      <name val="Helvetica Neue"/>
      <family val="2"/>
    </font>
    <font>
      <b/>
      <sz val="10"/>
      <color rgb="FF000000"/>
      <name val="Helvetica Neue"/>
      <family val="2"/>
    </font>
    <font>
      <sz val="7"/>
      <color rgb="FF000000"/>
      <name val="Helvetica Neue"/>
      <family val="2"/>
    </font>
    <font>
      <sz val="10"/>
      <color theme="1"/>
      <name val="Helvetica"/>
      <family val="2"/>
    </font>
    <font>
      <b/>
      <i/>
      <sz val="18"/>
      <color theme="1"/>
      <name val="Aptos Narrow"/>
      <scheme val="minor"/>
    </font>
    <font>
      <b/>
      <i/>
      <sz val="10"/>
      <color rgb="FF000000"/>
      <name val="Helvetica Neue"/>
      <family val="2"/>
    </font>
    <font>
      <sz val="11"/>
      <color rgb="FF000000"/>
      <name val="Helvetica Neue"/>
      <family val="2"/>
    </font>
    <font>
      <b/>
      <sz val="11"/>
      <color rgb="FF000000"/>
      <name val="Helvetica Neue"/>
      <family val="2"/>
    </font>
    <font>
      <sz val="10"/>
      <color theme="1"/>
      <name val="Helvetica Neue"/>
      <family val="2"/>
    </font>
    <font>
      <b/>
      <sz val="10"/>
      <color theme="1"/>
      <name val="Helvetica Neue"/>
      <family val="2"/>
    </font>
    <font>
      <sz val="12"/>
      <color theme="1"/>
      <name val="Helvetica Neue"/>
      <family val="2"/>
    </font>
    <font>
      <b/>
      <sz val="12"/>
      <color theme="1"/>
      <name val="Helvetica Neue"/>
      <family val="2"/>
    </font>
    <font>
      <b/>
      <u/>
      <sz val="14"/>
      <color theme="1"/>
      <name val="Helvetica Neue"/>
      <family val="2"/>
    </font>
    <font>
      <b/>
      <i/>
      <sz val="12"/>
      <color theme="1"/>
      <name val="Helvetica Neue"/>
      <family val="2"/>
    </font>
    <font>
      <sz val="12"/>
      <color rgb="FF000000"/>
      <name val="Helvetica Neue"/>
      <family val="2"/>
    </font>
    <font>
      <sz val="7"/>
      <color theme="1"/>
      <name val="Helvetica"/>
      <family val="2"/>
    </font>
    <font>
      <b/>
      <sz val="12"/>
      <color theme="1"/>
      <name val="Aptos Narrow"/>
      <scheme val="minor"/>
    </font>
    <font>
      <b/>
      <sz val="14"/>
      <color theme="1"/>
      <name val="Aptos Narrow (Body)"/>
    </font>
    <font>
      <i/>
      <sz val="12"/>
      <color theme="1"/>
      <name val="Helvetica Neue"/>
      <family val="2"/>
    </font>
    <font>
      <sz val="9"/>
      <color theme="1"/>
      <name val="Aptos Narrow"/>
      <family val="2"/>
      <scheme val="minor"/>
    </font>
    <font>
      <b/>
      <sz val="12"/>
      <name val="Aptos Narrow"/>
      <scheme val="minor"/>
    </font>
    <font>
      <b/>
      <sz val="12"/>
      <color theme="1"/>
      <name val="Helvetica"/>
      <family val="2"/>
    </font>
    <font>
      <b/>
      <i/>
      <sz val="18"/>
      <color rgb="FF000000"/>
      <name val="Aptos Narrow"/>
      <scheme val="minor"/>
    </font>
    <font>
      <b/>
      <sz val="12"/>
      <color rgb="FF000000"/>
      <name val="Aptos Narrow"/>
      <scheme val="minor"/>
    </font>
    <font>
      <b/>
      <sz val="12"/>
      <color rgb="FF000000"/>
      <name val="Aptos Narrow"/>
      <family val="2"/>
      <scheme val="minor"/>
    </font>
    <font>
      <sz val="9"/>
      <color rgb="FF000000"/>
      <name val="Aptos Narrow"/>
      <family val="2"/>
      <scheme val="minor"/>
    </font>
    <font>
      <sz val="12"/>
      <color rgb="FF000000"/>
      <name val="Aptos Narrow"/>
      <family val="2"/>
      <scheme val="minor"/>
    </font>
    <font>
      <b/>
      <sz val="12"/>
      <color rgb="FF000000"/>
      <name val="Helvetica"/>
      <family val="2"/>
    </font>
    <font>
      <b/>
      <sz val="10"/>
      <name val="Helvetica Neue"/>
      <family val="2"/>
    </font>
    <font>
      <sz val="11"/>
      <color rgb="FF000000"/>
      <name val="Aptos Narrow"/>
      <family val="2"/>
      <scheme val="minor"/>
    </font>
    <font>
      <b/>
      <sz val="8"/>
      <name val="Aptos Narrow"/>
      <scheme val="minor"/>
    </font>
    <font>
      <b/>
      <i/>
      <sz val="10"/>
      <color theme="1"/>
      <name val="Helvetica Neue"/>
      <family val="2"/>
    </font>
    <font>
      <b/>
      <sz val="14"/>
      <color theme="1"/>
      <name val="Helvetica Neue"/>
      <family val="2"/>
    </font>
    <font>
      <sz val="10"/>
      <color rgb="FFFF0000"/>
      <name val="Helvetica Neue"/>
      <family val="2"/>
    </font>
    <font>
      <sz val="8"/>
      <name val="Aptos Narrow"/>
      <family val="2"/>
      <scheme val="minor"/>
    </font>
    <font>
      <b/>
      <i/>
      <sz val="72"/>
      <color theme="1"/>
      <name val="Aptos Narrow"/>
      <scheme val="minor"/>
    </font>
    <font>
      <b/>
      <sz val="11"/>
      <name val="Aptos"/>
    </font>
    <font>
      <b/>
      <sz val="10"/>
      <color rgb="FFFFFFFF"/>
      <name val="Aptos"/>
    </font>
    <font>
      <b/>
      <sz val="11"/>
      <color rgb="FF163A5F"/>
      <name val="Aptos"/>
    </font>
    <font>
      <b/>
      <sz val="16"/>
      <color rgb="FF163A5F"/>
      <name val="Aptos"/>
    </font>
    <font>
      <sz val="11"/>
      <color theme="1"/>
      <name val="Helvetica Neue"/>
      <family val="2"/>
    </font>
    <font>
      <sz val="11"/>
      <color theme="1"/>
      <name val="Aptos Narrow"/>
      <family val="2"/>
      <scheme val="minor"/>
    </font>
    <font>
      <b/>
      <i/>
      <sz val="14"/>
      <color theme="1"/>
      <name val="Helvetica Neue"/>
      <family val="2"/>
    </font>
    <font>
      <b/>
      <sz val="11"/>
      <color theme="1"/>
      <name val="Helvetica Neue"/>
      <family val="2"/>
    </font>
    <font>
      <b/>
      <sz val="12"/>
      <color rgb="FF505050"/>
      <name val="Aptos Narrow"/>
      <family val="2"/>
      <scheme val="minor"/>
    </font>
    <font>
      <b/>
      <sz val="12"/>
      <color rgb="FF505050"/>
      <name val="Helvetica Neue"/>
      <family val="2"/>
    </font>
    <font>
      <sz val="12"/>
      <color rgb="FF808080"/>
      <name val="Aptos Narrow"/>
      <family val="2"/>
      <scheme val="minor"/>
    </font>
    <font>
      <sz val="12"/>
      <color rgb="FF808080"/>
      <name val="Helvetica Neue"/>
      <family val="2"/>
    </font>
    <font>
      <i/>
      <sz val="12"/>
      <color theme="1"/>
      <name val="Aptos Narrow"/>
      <family val="2"/>
      <scheme val="minor"/>
    </font>
    <font>
      <sz val="9"/>
      <color rgb="FF808080"/>
      <name val="Aptos Narrow"/>
      <family val="2"/>
      <scheme val="minor"/>
    </font>
    <font>
      <b/>
      <sz val="12"/>
      <color rgb="FF4472C4"/>
      <name val="Aptos Narrow"/>
      <family val="2"/>
      <scheme val="minor"/>
    </font>
    <font>
      <b/>
      <sz val="9"/>
      <color rgb="FF808080"/>
      <name val="Aptos Narrow"/>
      <family val="2"/>
      <scheme val="minor"/>
    </font>
    <font>
      <b/>
      <sz val="16"/>
      <color theme="1"/>
      <name val="Helvetica Neue"/>
      <family val="2"/>
    </font>
    <font>
      <b/>
      <sz val="16"/>
      <name val="Helvetica Neue"/>
      <family val="2"/>
    </font>
    <font>
      <sz val="16"/>
      <color theme="1"/>
      <name val="Helvetica Neue"/>
      <family val="2"/>
    </font>
    <font>
      <sz val="14"/>
      <color theme="1"/>
      <name val="Helvetica Neue"/>
      <family val="2"/>
    </font>
    <font>
      <sz val="14"/>
      <color rgb="FF000000"/>
      <name val="Helvetica Neue"/>
      <family val="2"/>
    </font>
    <font>
      <i/>
      <sz val="14"/>
      <color theme="1"/>
      <name val="Helvetica Neue"/>
      <family val="2"/>
    </font>
    <font>
      <b/>
      <i/>
      <sz val="14"/>
      <color rgb="FF000000"/>
      <name val="Helvetica Neue"/>
      <family val="2"/>
    </font>
    <font>
      <b/>
      <sz val="14"/>
      <color rgb="FF000000"/>
      <name val="Helvetica Neue"/>
      <family val="2"/>
    </font>
    <font>
      <b/>
      <sz val="14"/>
      <color rgb="FF808080"/>
      <name val="Helvetica Neue"/>
      <family val="2"/>
    </font>
    <font>
      <b/>
      <i/>
      <sz val="12"/>
      <color rgb="FF888888"/>
      <name val="Aptos Narrow"/>
    </font>
    <font>
      <b/>
      <sz val="14"/>
      <name val="Aptos Narrow"/>
    </font>
    <font>
      <sz val="12"/>
      <name val="Aptos Narrow"/>
      <family val="2"/>
      <scheme val="minor"/>
    </font>
    <font>
      <sz val="10"/>
      <color rgb="FF0000FF"/>
      <name val="Helvetica Neue"/>
      <family val="2"/>
    </font>
    <font>
      <sz val="9"/>
      <color theme="1"/>
      <name val="Helvetica Neue"/>
      <family val="2"/>
    </font>
    <font>
      <sz val="10"/>
      <color rgb="FF008000"/>
      <name val="Helvetica Neue"/>
      <family val="2"/>
    </font>
    <font>
      <sz val="9"/>
      <color rgb="FF008000"/>
      <name val="Helvetica Neue"/>
      <family val="2"/>
    </font>
    <font>
      <sz val="9"/>
      <color rgb="FFFF0000"/>
      <name val="Helvetica Neue"/>
      <family val="2"/>
    </font>
    <font>
      <sz val="8"/>
      <color rgb="FF808080"/>
      <name val="Helvetica Neue"/>
      <family val="2"/>
    </font>
    <font>
      <b/>
      <sz val="9"/>
      <color theme="1"/>
      <name val="Helvetica Neue"/>
      <family val="2"/>
    </font>
    <font>
      <b/>
      <i/>
      <sz val="18"/>
      <color theme="1"/>
      <name val="Helvetica Neue"/>
      <family val="2"/>
    </font>
    <font>
      <sz val="10"/>
      <color rgb="FF000000"/>
      <name val="Tahoma"/>
      <family val="2"/>
    </font>
    <font>
      <b/>
      <sz val="10"/>
      <color rgb="FF000000"/>
      <name val="Tahoma"/>
      <family val="2"/>
    </font>
  </fonts>
  <fills count="5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C6E88"/>
        <bgColor indexed="64"/>
      </patternFill>
    </fill>
    <fill>
      <patternFill patternType="solid">
        <fgColor rgb="FF92D050"/>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1" tint="4.9989318521683403E-2"/>
        <bgColor indexed="64"/>
      </patternFill>
    </fill>
    <fill>
      <patternFill patternType="solid">
        <fgColor rgb="FFD9D9D9"/>
        <bgColor rgb="FF000000"/>
      </patternFill>
    </fill>
    <fill>
      <patternFill patternType="solid">
        <fgColor rgb="FFD0D0D0"/>
        <bgColor rgb="FF000000"/>
      </patternFill>
    </fill>
    <fill>
      <patternFill patternType="solid">
        <fgColor rgb="FF92D050"/>
        <bgColor rgb="FF000000"/>
      </patternFill>
    </fill>
    <fill>
      <patternFill patternType="solid">
        <fgColor rgb="FFFC6E88"/>
        <bgColor rgb="FF000000"/>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1"/>
        <bgColor indexed="64"/>
      </patternFill>
    </fill>
    <fill>
      <patternFill patternType="solid">
        <fgColor rgb="FF0D0D0D"/>
        <bgColor rgb="FF000000"/>
      </patternFill>
    </fill>
    <fill>
      <patternFill patternType="solid">
        <fgColor rgb="FFFFC000"/>
        <bgColor rgb="FF000000"/>
      </patternFill>
    </fill>
    <fill>
      <patternFill patternType="solid">
        <fgColor theme="4" tint="0.39997558519241921"/>
        <bgColor rgb="FF000000"/>
      </patternFill>
    </fill>
    <fill>
      <patternFill patternType="solid">
        <fgColor theme="1"/>
        <bgColor rgb="FF000000"/>
      </patternFill>
    </fill>
    <fill>
      <patternFill patternType="solid">
        <fgColor theme="2" tint="-9.9978637043366805E-2"/>
        <bgColor rgb="FF000000"/>
      </patternFill>
    </fill>
    <fill>
      <patternFill patternType="solid">
        <fgColor rgb="FF44B3E1"/>
        <bgColor rgb="FF000000"/>
      </patternFill>
    </fill>
    <fill>
      <patternFill patternType="solid">
        <fgColor rgb="FFADADAD"/>
        <bgColor rgb="FF000000"/>
      </patternFill>
    </fill>
    <fill>
      <patternFill patternType="solid">
        <fgColor rgb="FF747474"/>
        <bgColor rgb="FF000000"/>
      </patternFill>
    </fill>
    <fill>
      <patternFill patternType="solid">
        <fgColor theme="9" tint="-0.249977111117893"/>
        <bgColor indexed="64"/>
      </patternFill>
    </fill>
    <fill>
      <patternFill patternType="solid">
        <fgColor rgb="FFC00000"/>
        <bgColor indexed="64"/>
      </patternFill>
    </fill>
    <fill>
      <patternFill patternType="solid">
        <fgColor theme="0" tint="-0.14999847407452621"/>
        <bgColor indexed="65"/>
      </patternFill>
    </fill>
    <fill>
      <patternFill patternType="solid">
        <fgColor theme="2" tint="-9.9978637043366805E-2"/>
        <bgColor indexed="65"/>
      </patternFill>
    </fill>
    <fill>
      <patternFill patternType="solid">
        <fgColor theme="2" tint="-0.249977111117893"/>
        <bgColor indexed="65"/>
      </patternFill>
    </fill>
    <fill>
      <patternFill patternType="solid">
        <fgColor theme="5"/>
        <bgColor indexed="64"/>
      </patternFill>
    </fill>
    <fill>
      <patternFill patternType="solid">
        <fgColor rgb="FF00B0F0"/>
        <bgColor indexed="64"/>
      </patternFill>
    </fill>
    <fill>
      <patternFill patternType="solid">
        <fgColor theme="6" tint="0.39997558519241921"/>
        <bgColor indexed="64"/>
      </patternFill>
    </fill>
    <fill>
      <patternFill patternType="solid">
        <fgColor rgb="FFD0D0D0"/>
        <bgColor indexed="64"/>
      </patternFill>
    </fill>
    <fill>
      <patternFill patternType="solid">
        <fgColor rgb="FF00B0F0"/>
        <bgColor rgb="FF000000"/>
      </patternFill>
    </fill>
    <fill>
      <patternFill patternType="solid">
        <fgColor rgb="FFFFFFFF"/>
        <bgColor indexed="64"/>
      </patternFill>
    </fill>
    <fill>
      <patternFill patternType="solid">
        <fgColor rgb="FFD9D9D9"/>
        <bgColor indexed="64"/>
      </patternFill>
    </fill>
    <fill>
      <patternFill patternType="solid">
        <fgColor rgb="FF83CCEB"/>
        <bgColor indexed="64"/>
      </patternFill>
    </fill>
    <fill>
      <patternFill patternType="solid">
        <fgColor rgb="FFFFD966"/>
        <bgColor indexed="64"/>
      </patternFill>
    </fill>
    <fill>
      <patternFill patternType="solid">
        <fgColor rgb="FF747474"/>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cellStyleXfs>
  <cellXfs count="827">
    <xf numFmtId="0" fontId="0" fillId="0" borderId="0" xfId="0"/>
    <xf numFmtId="0" fontId="5" fillId="2" borderId="1" xfId="0" applyFont="1" applyFill="1" applyBorder="1" applyAlignment="1">
      <alignment horizontal="center"/>
    </xf>
    <xf numFmtId="14" fontId="5" fillId="2" borderId="1" xfId="0" applyNumberFormat="1" applyFont="1" applyFill="1" applyBorder="1" applyAlignment="1">
      <alignment horizontal="center"/>
    </xf>
    <xf numFmtId="2" fontId="4" fillId="0" borderId="1" xfId="0" applyNumberFormat="1" applyFont="1" applyBorder="1" applyAlignment="1">
      <alignment horizontal="right"/>
    </xf>
    <xf numFmtId="2" fontId="4" fillId="0" borderId="1" xfId="0" applyNumberFormat="1" applyFont="1" applyBorder="1" applyAlignment="1">
      <alignment horizontal="center"/>
    </xf>
    <xf numFmtId="2" fontId="3" fillId="0" borderId="1" xfId="0" applyNumberFormat="1" applyFont="1" applyBorder="1" applyAlignment="1">
      <alignment horizontal="center"/>
    </xf>
    <xf numFmtId="2" fontId="3" fillId="2" borderId="1" xfId="0" applyNumberFormat="1" applyFont="1" applyFill="1" applyBorder="1" applyAlignment="1">
      <alignment horizontal="right"/>
    </xf>
    <xf numFmtId="164" fontId="4" fillId="0" borderId="1" xfId="1" applyNumberFormat="1" applyFont="1" applyBorder="1" applyAlignment="1">
      <alignment horizontal="right"/>
    </xf>
    <xf numFmtId="164" fontId="4" fillId="0" borderId="1" xfId="0" applyNumberFormat="1" applyFont="1" applyBorder="1" applyAlignment="1">
      <alignment horizontal="right"/>
    </xf>
    <xf numFmtId="164" fontId="3" fillId="0" borderId="1" xfId="0" applyNumberFormat="1" applyFont="1" applyBorder="1" applyAlignment="1">
      <alignment horizontal="right"/>
    </xf>
    <xf numFmtId="164" fontId="4" fillId="2" borderId="1" xfId="0" applyNumberFormat="1" applyFont="1" applyFill="1" applyBorder="1" applyAlignment="1">
      <alignment horizontal="right"/>
    </xf>
    <xf numFmtId="2" fontId="5" fillId="2" borderId="1" xfId="0" applyNumberFormat="1" applyFont="1" applyFill="1" applyBorder="1" applyAlignment="1">
      <alignment horizontal="right"/>
    </xf>
    <xf numFmtId="164" fontId="5" fillId="2" borderId="1" xfId="0" applyNumberFormat="1" applyFont="1" applyFill="1" applyBorder="1" applyAlignment="1">
      <alignment horizontal="right"/>
    </xf>
    <xf numFmtId="164" fontId="7" fillId="0" borderId="1" xfId="0" applyNumberFormat="1" applyFont="1" applyBorder="1" applyAlignment="1">
      <alignment horizontal="right"/>
    </xf>
    <xf numFmtId="2" fontId="7" fillId="0" borderId="1" xfId="0" applyNumberFormat="1" applyFont="1" applyBorder="1" applyAlignment="1">
      <alignment horizontal="center"/>
    </xf>
    <xf numFmtId="165" fontId="4" fillId="0" borderId="1" xfId="0" applyNumberFormat="1" applyFont="1" applyBorder="1" applyAlignment="1">
      <alignment horizontal="right"/>
    </xf>
    <xf numFmtId="165" fontId="7" fillId="0" borderId="1" xfId="0" applyNumberFormat="1" applyFont="1" applyBorder="1" applyAlignment="1">
      <alignment horizontal="right"/>
    </xf>
    <xf numFmtId="165" fontId="5" fillId="2" borderId="1" xfId="2" applyNumberFormat="1" applyFont="1" applyFill="1" applyBorder="1" applyAlignment="1">
      <alignment horizontal="right"/>
    </xf>
    <xf numFmtId="2" fontId="6" fillId="3" borderId="1" xfId="0" applyNumberFormat="1" applyFont="1" applyFill="1" applyBorder="1" applyAlignment="1">
      <alignment horizontal="right"/>
    </xf>
    <xf numFmtId="2" fontId="6" fillId="3" borderId="1" xfId="0" applyNumberFormat="1" applyFont="1" applyFill="1" applyBorder="1" applyAlignment="1">
      <alignment horizontal="center"/>
    </xf>
    <xf numFmtId="0" fontId="11" fillId="2" borderId="1" xfId="0" applyFont="1" applyFill="1" applyBorder="1" applyAlignment="1">
      <alignment horizontal="center" vertical="center"/>
    </xf>
    <xf numFmtId="8" fontId="10" fillId="0" borderId="1" xfId="0" applyNumberFormat="1" applyFont="1" applyBorder="1" applyAlignment="1">
      <alignment horizontal="center" vertical="center"/>
    </xf>
    <xf numFmtId="8" fontId="10" fillId="2" borderId="1" xfId="0" applyNumberFormat="1" applyFont="1" applyFill="1" applyBorder="1" applyAlignment="1">
      <alignment horizontal="center" vertical="center"/>
    </xf>
    <xf numFmtId="164" fontId="7" fillId="2" borderId="1" xfId="0" applyNumberFormat="1" applyFont="1" applyFill="1" applyBorder="1" applyAlignment="1">
      <alignment horizontal="right"/>
    </xf>
    <xf numFmtId="2" fontId="7" fillId="0" borderId="1" xfId="0" applyNumberFormat="1" applyFont="1" applyBorder="1" applyAlignment="1">
      <alignment horizontal="right"/>
    </xf>
    <xf numFmtId="164" fontId="7" fillId="0" borderId="1" xfId="1" applyNumberFormat="1" applyFont="1" applyBorder="1" applyAlignment="1">
      <alignment horizontal="right"/>
    </xf>
    <xf numFmtId="0" fontId="5" fillId="2" borderId="1" xfId="0" applyFont="1" applyFill="1" applyBorder="1" applyAlignment="1">
      <alignment horizontal="center" vertical="center"/>
    </xf>
    <xf numFmtId="8" fontId="4" fillId="2" borderId="1" xfId="0" applyNumberFormat="1" applyFont="1" applyFill="1" applyBorder="1" applyAlignment="1">
      <alignment horizontal="right" vertical="center"/>
    </xf>
    <xf numFmtId="0" fontId="4" fillId="2" borderId="1" xfId="0" applyFont="1" applyFill="1" applyBorder="1" applyAlignment="1">
      <alignment horizontal="center" vertical="center"/>
    </xf>
    <xf numFmtId="14" fontId="4" fillId="2"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8" fontId="4" fillId="4" borderId="1" xfId="0" applyNumberFormat="1" applyFont="1" applyFill="1" applyBorder="1" applyAlignment="1">
      <alignment horizontal="right" vertical="center"/>
    </xf>
    <xf numFmtId="0" fontId="4" fillId="4" borderId="1" xfId="0" applyFont="1" applyFill="1" applyBorder="1" applyAlignment="1">
      <alignment horizontal="center" vertical="center"/>
    </xf>
    <xf numFmtId="14" fontId="4" fillId="4"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4" fillId="6" borderId="1" xfId="0" applyFont="1" applyFill="1" applyBorder="1" applyAlignment="1">
      <alignment horizontal="center" vertical="center"/>
    </xf>
    <xf numFmtId="14" fontId="4" fillId="6" borderId="1" xfId="0" applyNumberFormat="1" applyFont="1" applyFill="1" applyBorder="1" applyAlignment="1">
      <alignment horizontal="center" vertical="center"/>
    </xf>
    <xf numFmtId="9" fontId="4" fillId="6"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4" fillId="5" borderId="1" xfId="0" applyFont="1" applyFill="1" applyBorder="1" applyAlignment="1">
      <alignment horizontal="center" vertical="center"/>
    </xf>
    <xf numFmtId="14" fontId="4" fillId="5" borderId="1" xfId="0" applyNumberFormat="1" applyFont="1" applyFill="1" applyBorder="1" applyAlignment="1">
      <alignment horizontal="center" vertical="center"/>
    </xf>
    <xf numFmtId="9" fontId="4" fillId="5"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4" fillId="7" borderId="1" xfId="0" applyFont="1" applyFill="1" applyBorder="1" applyAlignment="1">
      <alignment horizontal="center" vertical="center"/>
    </xf>
    <xf numFmtId="14" fontId="4" fillId="7" borderId="1" xfId="0" applyNumberFormat="1" applyFont="1" applyFill="1" applyBorder="1" applyAlignment="1">
      <alignment horizontal="center" vertical="center"/>
    </xf>
    <xf numFmtId="9" fontId="4" fillId="7" borderId="1" xfId="0" applyNumberFormat="1" applyFont="1" applyFill="1" applyBorder="1" applyAlignment="1">
      <alignment horizontal="center" vertical="center"/>
    </xf>
    <xf numFmtId="166" fontId="4" fillId="6" borderId="1" xfId="0" applyNumberFormat="1" applyFont="1" applyFill="1" applyBorder="1" applyAlignment="1">
      <alignment horizontal="center" vertical="center"/>
    </xf>
    <xf numFmtId="166" fontId="4" fillId="5" borderId="1" xfId="0" applyNumberFormat="1" applyFont="1" applyFill="1" applyBorder="1" applyAlignment="1">
      <alignment horizontal="center" vertical="center"/>
    </xf>
    <xf numFmtId="166"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5" fillId="2" borderId="1" xfId="0" applyFont="1" applyFill="1" applyBorder="1"/>
    <xf numFmtId="0" fontId="2" fillId="2" borderId="1" xfId="0" applyFont="1" applyFill="1" applyBorder="1" applyAlignment="1">
      <alignment horizontal="center"/>
    </xf>
    <xf numFmtId="0" fontId="13" fillId="2" borderId="1" xfId="0" applyFont="1" applyFill="1" applyBorder="1"/>
    <xf numFmtId="0" fontId="12" fillId="2" borderId="1" xfId="0" applyFont="1" applyFill="1" applyBorder="1"/>
    <xf numFmtId="164" fontId="12" fillId="0" borderId="1" xfId="0" applyNumberFormat="1" applyFont="1" applyBorder="1"/>
    <xf numFmtId="167" fontId="12" fillId="0" borderId="1" xfId="0" applyNumberFormat="1" applyFont="1" applyBorder="1"/>
    <xf numFmtId="0" fontId="12" fillId="0" borderId="0" xfId="0" applyFont="1"/>
    <xf numFmtId="0" fontId="13" fillId="2" borderId="1" xfId="0" applyFont="1" applyFill="1" applyBorder="1" applyAlignment="1">
      <alignment horizontal="center"/>
    </xf>
    <xf numFmtId="167" fontId="12" fillId="0" borderId="0" xfId="0" applyNumberFormat="1" applyFont="1"/>
    <xf numFmtId="168" fontId="12" fillId="0" borderId="1" xfId="0" applyNumberFormat="1" applyFont="1" applyBorder="1"/>
    <xf numFmtId="0" fontId="14" fillId="0" borderId="0" xfId="0" applyFont="1"/>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0" fontId="12" fillId="0" borderId="1" xfId="0" applyFont="1" applyBorder="1"/>
    <xf numFmtId="0" fontId="14" fillId="2" borderId="1" xfId="0" applyFont="1" applyFill="1" applyBorder="1" applyAlignment="1">
      <alignment horizontal="center" vertical="center"/>
    </xf>
    <xf numFmtId="0" fontId="12" fillId="0" borderId="1" xfId="0" applyFont="1" applyBorder="1" applyAlignment="1">
      <alignment horizontal="center" vertical="center"/>
    </xf>
    <xf numFmtId="164" fontId="12" fillId="4" borderId="1" xfId="0" applyNumberFormat="1" applyFont="1" applyFill="1" applyBorder="1"/>
    <xf numFmtId="164" fontId="13" fillId="2" borderId="1" xfId="0" applyNumberFormat="1" applyFont="1" applyFill="1" applyBorder="1"/>
    <xf numFmtId="0" fontId="13" fillId="2" borderId="1" xfId="0" applyFont="1" applyFill="1" applyBorder="1" applyAlignment="1">
      <alignment horizontal="right"/>
    </xf>
    <xf numFmtId="14" fontId="12" fillId="0" borderId="1" xfId="0" applyNumberFormat="1" applyFont="1" applyBorder="1"/>
    <xf numFmtId="14" fontId="12" fillId="2" borderId="1" xfId="0" applyNumberFormat="1" applyFont="1" applyFill="1" applyBorder="1"/>
    <xf numFmtId="164" fontId="12" fillId="2" borderId="1" xfId="0" applyNumberFormat="1" applyFont="1" applyFill="1" applyBorder="1"/>
    <xf numFmtId="14" fontId="12" fillId="4" borderId="1" xfId="0" applyNumberFormat="1" applyFont="1" applyFill="1" applyBorder="1"/>
    <xf numFmtId="0" fontId="12" fillId="4" borderId="1" xfId="0" applyFont="1" applyFill="1" applyBorder="1"/>
    <xf numFmtId="0" fontId="12" fillId="2" borderId="1" xfId="0" applyFont="1" applyFill="1" applyBorder="1" applyAlignment="1">
      <alignment horizontal="center" vertical="center"/>
    </xf>
    <xf numFmtId="164" fontId="12" fillId="0" borderId="1" xfId="1" applyNumberFormat="1" applyFont="1" applyBorder="1"/>
    <xf numFmtId="164" fontId="12" fillId="4" borderId="1" xfId="1" applyNumberFormat="1" applyFont="1" applyFill="1" applyBorder="1"/>
    <xf numFmtId="2" fontId="19" fillId="3" borderId="1" xfId="0" applyNumberFormat="1" applyFont="1" applyFill="1" applyBorder="1" applyAlignment="1">
      <alignment horizontal="right"/>
    </xf>
    <xf numFmtId="0" fontId="19" fillId="3" borderId="1" xfId="1" applyNumberFormat="1" applyFont="1" applyFill="1" applyBorder="1" applyAlignment="1">
      <alignment horizontal="right"/>
    </xf>
    <xf numFmtId="0" fontId="6" fillId="3" borderId="1" xfId="0" applyFont="1" applyFill="1" applyBorder="1" applyAlignment="1">
      <alignment horizontal="right"/>
    </xf>
    <xf numFmtId="2" fontId="19" fillId="3" borderId="1" xfId="0" applyNumberFormat="1" applyFont="1" applyFill="1" applyBorder="1" applyAlignment="1">
      <alignment horizontal="center"/>
    </xf>
    <xf numFmtId="14" fontId="13" fillId="2" borderId="1" xfId="0" applyNumberFormat="1" applyFont="1" applyFill="1" applyBorder="1"/>
    <xf numFmtId="168" fontId="12" fillId="0" borderId="0" xfId="0" applyNumberFormat="1" applyFont="1"/>
    <xf numFmtId="0" fontId="14" fillId="0" borderId="1" xfId="0" applyFont="1" applyBorder="1"/>
    <xf numFmtId="0" fontId="14" fillId="0" borderId="1" xfId="0" applyFont="1" applyBorder="1" applyAlignment="1">
      <alignment horizontal="center" vertical="center"/>
    </xf>
    <xf numFmtId="167" fontId="14" fillId="0" borderId="1" xfId="1" applyNumberFormat="1" applyFont="1" applyBorder="1"/>
    <xf numFmtId="168" fontId="14" fillId="0" borderId="1" xfId="0" applyNumberFormat="1" applyFont="1" applyBorder="1"/>
    <xf numFmtId="167" fontId="14" fillId="0" borderId="1" xfId="0" applyNumberFormat="1" applyFont="1" applyBorder="1"/>
    <xf numFmtId="14" fontId="14" fillId="0" borderId="1" xfId="0" applyNumberFormat="1" applyFont="1" applyBorder="1"/>
    <xf numFmtId="0" fontId="14" fillId="9" borderId="1" xfId="0" applyFont="1" applyFill="1" applyBorder="1" applyAlignment="1">
      <alignment horizontal="center" vertical="center"/>
    </xf>
    <xf numFmtId="0" fontId="14" fillId="10" borderId="1" xfId="0" applyFont="1" applyFill="1" applyBorder="1"/>
    <xf numFmtId="0" fontId="14" fillId="11" borderId="1" xfId="0" applyFont="1" applyFill="1" applyBorder="1"/>
    <xf numFmtId="0" fontId="14" fillId="2" borderId="1" xfId="0" applyFont="1" applyFill="1" applyBorder="1"/>
    <xf numFmtId="167" fontId="14" fillId="2" borderId="1" xfId="1" applyNumberFormat="1" applyFont="1" applyFill="1" applyBorder="1"/>
    <xf numFmtId="168" fontId="14" fillId="2" borderId="1" xfId="0" applyNumberFormat="1" applyFont="1" applyFill="1" applyBorder="1"/>
    <xf numFmtId="167" fontId="14" fillId="2" borderId="1" xfId="0" applyNumberFormat="1" applyFont="1" applyFill="1" applyBorder="1"/>
    <xf numFmtId="2" fontId="12" fillId="0" borderId="1" xfId="0" applyNumberFormat="1" applyFont="1" applyBorder="1" applyAlignment="1">
      <alignment horizontal="right"/>
    </xf>
    <xf numFmtId="164" fontId="12" fillId="0" borderId="1" xfId="1" applyNumberFormat="1" applyFont="1" applyBorder="1" applyAlignment="1">
      <alignment horizontal="right"/>
    </xf>
    <xf numFmtId="164" fontId="12" fillId="0" borderId="1" xfId="0" applyNumberFormat="1" applyFont="1" applyBorder="1" applyAlignment="1">
      <alignment horizontal="right"/>
    </xf>
    <xf numFmtId="164" fontId="12" fillId="2" borderId="1" xfId="0" applyNumberFormat="1" applyFont="1" applyFill="1" applyBorder="1" applyAlignment="1">
      <alignment horizontal="right"/>
    </xf>
    <xf numFmtId="2" fontId="12" fillId="0" borderId="1" xfId="0" applyNumberFormat="1" applyFont="1" applyBorder="1" applyAlignment="1">
      <alignment horizontal="center" vertical="center"/>
    </xf>
    <xf numFmtId="10" fontId="12" fillId="0" borderId="1" xfId="0" applyNumberFormat="1" applyFont="1" applyBorder="1"/>
    <xf numFmtId="10" fontId="12" fillId="0" borderId="1" xfId="0" applyNumberFormat="1" applyFont="1" applyBorder="1" applyAlignment="1">
      <alignment horizontal="right"/>
    </xf>
    <xf numFmtId="2" fontId="12" fillId="0" borderId="1" xfId="0" applyNumberFormat="1" applyFont="1" applyBorder="1"/>
    <xf numFmtId="2" fontId="4" fillId="3" borderId="1" xfId="0" applyNumberFormat="1" applyFont="1" applyFill="1" applyBorder="1" applyAlignment="1">
      <alignment horizontal="center"/>
    </xf>
    <xf numFmtId="0" fontId="12" fillId="3" borderId="1" xfId="0" applyFont="1" applyFill="1" applyBorder="1" applyAlignment="1">
      <alignment horizontal="center" vertical="center"/>
    </xf>
    <xf numFmtId="164" fontId="0" fillId="0" borderId="1" xfId="0" applyNumberFormat="1" applyBorder="1" applyAlignment="1">
      <alignment horizontal="center" vertical="center"/>
    </xf>
    <xf numFmtId="0" fontId="20" fillId="9" borderId="1" xfId="0" applyFont="1" applyFill="1" applyBorder="1" applyAlignment="1">
      <alignment horizontal="center" vertical="center"/>
    </xf>
    <xf numFmtId="164" fontId="0" fillId="0" borderId="1" xfId="0" applyNumberFormat="1" applyBorder="1" applyAlignment="1">
      <alignment horizontal="center"/>
    </xf>
    <xf numFmtId="0" fontId="15" fillId="9" borderId="1" xfId="0" applyFont="1" applyFill="1" applyBorder="1" applyAlignment="1">
      <alignment horizontal="center"/>
    </xf>
    <xf numFmtId="0" fontId="0" fillId="0" borderId="1" xfId="0" applyBorder="1"/>
    <xf numFmtId="0" fontId="2" fillId="2" borderId="3" xfId="0" applyFont="1" applyFill="1" applyBorder="1" applyAlignment="1">
      <alignment horizontal="center"/>
    </xf>
    <xf numFmtId="165" fontId="4" fillId="0" borderId="3" xfId="0" applyNumberFormat="1" applyFont="1" applyBorder="1" applyAlignment="1">
      <alignment horizontal="right"/>
    </xf>
    <xf numFmtId="165" fontId="5" fillId="2" borderId="3" xfId="2" applyNumberFormat="1" applyFont="1" applyFill="1" applyBorder="1" applyAlignment="1">
      <alignment horizontal="right"/>
    </xf>
    <xf numFmtId="2" fontId="3" fillId="2" borderId="3" xfId="0" applyNumberFormat="1" applyFont="1" applyFill="1" applyBorder="1" applyAlignment="1">
      <alignment horizontal="right"/>
    </xf>
    <xf numFmtId="0" fontId="2" fillId="0" borderId="0" xfId="0" applyFont="1" applyAlignment="1">
      <alignment horizontal="center"/>
    </xf>
    <xf numFmtId="0" fontId="5" fillId="0" borderId="0" xfId="0" applyFont="1" applyAlignment="1">
      <alignment horizontal="center"/>
    </xf>
    <xf numFmtId="0" fontId="8" fillId="0" borderId="0" xfId="0" applyFont="1"/>
    <xf numFmtId="2" fontId="5" fillId="2" borderId="3" xfId="0" applyNumberFormat="1" applyFont="1" applyFill="1" applyBorder="1" applyAlignment="1">
      <alignment horizontal="right"/>
    </xf>
    <xf numFmtId="0" fontId="2" fillId="2" borderId="5" xfId="0" applyFont="1" applyFill="1" applyBorder="1" applyAlignment="1">
      <alignment horizontal="center"/>
    </xf>
    <xf numFmtId="0" fontId="2" fillId="9" borderId="1" xfId="0" applyFont="1" applyFill="1" applyBorder="1" applyAlignment="1">
      <alignment horizontal="center"/>
    </xf>
    <xf numFmtId="0" fontId="5" fillId="9" borderId="1" xfId="0" applyFont="1" applyFill="1" applyBorder="1" applyAlignment="1">
      <alignment horizontal="center"/>
    </xf>
    <xf numFmtId="164" fontId="0" fillId="0" borderId="1" xfId="0" applyNumberFormat="1" applyBorder="1"/>
    <xf numFmtId="164" fontId="20" fillId="9" borderId="1" xfId="0" applyNumberFormat="1" applyFont="1" applyFill="1" applyBorder="1"/>
    <xf numFmtId="164" fontId="4" fillId="0" borderId="2" xfId="1" applyNumberFormat="1" applyFont="1" applyBorder="1" applyAlignment="1">
      <alignment horizontal="right"/>
    </xf>
    <xf numFmtId="164" fontId="4" fillId="2" borderId="2" xfId="0" applyNumberFormat="1" applyFont="1" applyFill="1" applyBorder="1" applyAlignment="1">
      <alignment horizontal="right"/>
    </xf>
    <xf numFmtId="164" fontId="3" fillId="0" borderId="13" xfId="0" applyNumberFormat="1" applyFont="1" applyBorder="1" applyAlignment="1">
      <alignment horizontal="right"/>
    </xf>
    <xf numFmtId="164" fontId="3" fillId="0" borderId="3" xfId="0" applyNumberFormat="1" applyFont="1" applyBorder="1" applyAlignment="1">
      <alignment horizontal="right"/>
    </xf>
    <xf numFmtId="164" fontId="4" fillId="0" borderId="3" xfId="0" applyNumberFormat="1" applyFont="1" applyBorder="1" applyAlignment="1">
      <alignment horizontal="right"/>
    </xf>
    <xf numFmtId="164" fontId="7" fillId="0" borderId="3" xfId="0" applyNumberFormat="1" applyFont="1" applyBorder="1" applyAlignment="1">
      <alignment horizontal="right"/>
    </xf>
    <xf numFmtId="164" fontId="5" fillId="2" borderId="3" xfId="0" applyNumberFormat="1" applyFont="1" applyFill="1" applyBorder="1" applyAlignment="1">
      <alignment horizontal="right"/>
    </xf>
    <xf numFmtId="164" fontId="4" fillId="0" borderId="5" xfId="0" applyNumberFormat="1" applyFont="1" applyBorder="1" applyAlignment="1">
      <alignment horizontal="right"/>
    </xf>
    <xf numFmtId="164" fontId="5" fillId="2" borderId="5" xfId="0" applyNumberFormat="1" applyFont="1" applyFill="1" applyBorder="1" applyAlignment="1">
      <alignment horizontal="right"/>
    </xf>
    <xf numFmtId="0" fontId="23" fillId="0" borderId="1" xfId="0" applyFont="1" applyBorder="1" applyAlignment="1">
      <alignment horizontal="center" vertical="center"/>
    </xf>
    <xf numFmtId="164" fontId="4" fillId="2" borderId="2" xfId="0" applyNumberFormat="1" applyFont="1" applyFill="1" applyBorder="1" applyAlignment="1">
      <alignment horizontal="right" vertical="center"/>
    </xf>
    <xf numFmtId="164" fontId="4" fillId="0" borderId="2" xfId="1" applyNumberFormat="1" applyFont="1" applyBorder="1" applyAlignment="1">
      <alignment horizontal="right" vertical="center"/>
    </xf>
    <xf numFmtId="0" fontId="20" fillId="9" borderId="1" xfId="0" applyFont="1" applyFill="1" applyBorder="1" applyAlignment="1">
      <alignment horizontal="right"/>
    </xf>
    <xf numFmtId="0" fontId="0" fillId="9" borderId="1" xfId="0" applyFill="1" applyBorder="1" applyAlignment="1">
      <alignment horizontal="right"/>
    </xf>
    <xf numFmtId="164" fontId="7" fillId="0" borderId="13" xfId="0" applyNumberFormat="1" applyFont="1" applyBorder="1" applyAlignment="1">
      <alignment horizontal="right"/>
    </xf>
    <xf numFmtId="0" fontId="13" fillId="2" borderId="2" xfId="0" applyFont="1" applyFill="1" applyBorder="1" applyAlignment="1">
      <alignment horizontal="left" vertical="center"/>
    </xf>
    <xf numFmtId="14" fontId="5" fillId="2" borderId="2" xfId="0" applyNumberFormat="1" applyFont="1" applyFill="1" applyBorder="1" applyAlignment="1">
      <alignment horizontal="center" vertical="center"/>
    </xf>
    <xf numFmtId="164" fontId="4" fillId="0" borderId="13" xfId="0" applyNumberFormat="1" applyFont="1" applyBorder="1" applyAlignment="1">
      <alignment horizontal="center"/>
    </xf>
    <xf numFmtId="164" fontId="4" fillId="0" borderId="12" xfId="0" applyNumberFormat="1" applyFont="1" applyBorder="1" applyAlignment="1">
      <alignment horizontal="right" vertical="center"/>
    </xf>
    <xf numFmtId="165" fontId="4" fillId="0" borderId="13" xfId="0" applyNumberFormat="1" applyFont="1" applyBorder="1" applyAlignment="1">
      <alignment horizontal="right" vertical="center"/>
    </xf>
    <xf numFmtId="164" fontId="0" fillId="0" borderId="5" xfId="0" applyNumberFormat="1" applyBorder="1"/>
    <xf numFmtId="164" fontId="0" fillId="0" borderId="12" xfId="0" applyNumberFormat="1" applyBorder="1" applyAlignment="1">
      <alignment horizontal="right" vertical="center"/>
    </xf>
    <xf numFmtId="0" fontId="20" fillId="9" borderId="5" xfId="0" applyFont="1" applyFill="1" applyBorder="1" applyAlignment="1">
      <alignment horizontal="right"/>
    </xf>
    <xf numFmtId="164" fontId="20" fillId="9" borderId="5" xfId="0" applyNumberFormat="1" applyFont="1" applyFill="1" applyBorder="1"/>
    <xf numFmtId="0" fontId="23" fillId="0" borderId="2" xfId="0" applyFont="1" applyBorder="1" applyAlignment="1">
      <alignment horizontal="right" vertical="center"/>
    </xf>
    <xf numFmtId="0" fontId="0" fillId="0" borderId="1" xfId="0" applyBorder="1" applyAlignment="1">
      <alignment horizontal="right" vertical="center"/>
    </xf>
    <xf numFmtId="164" fontId="4" fillId="0" borderId="13" xfId="0" applyNumberFormat="1" applyFont="1" applyBorder="1" applyAlignment="1">
      <alignment horizontal="right"/>
    </xf>
    <xf numFmtId="164" fontId="0" fillId="0" borderId="7" xfId="0" applyNumberFormat="1" applyBorder="1"/>
    <xf numFmtId="164" fontId="0" fillId="0" borderId="0" xfId="0" applyNumberFormat="1"/>
    <xf numFmtId="0" fontId="20" fillId="0" borderId="0" xfId="0" applyFont="1" applyAlignment="1">
      <alignment horizontal="right"/>
    </xf>
    <xf numFmtId="164" fontId="20" fillId="0" borderId="0" xfId="0" applyNumberFormat="1" applyFont="1"/>
    <xf numFmtId="0" fontId="2" fillId="0" borderId="0" xfId="0" applyFont="1"/>
    <xf numFmtId="164" fontId="24" fillId="9" borderId="1" xfId="0" applyNumberFormat="1" applyFont="1" applyFill="1" applyBorder="1"/>
    <xf numFmtId="0" fontId="2" fillId="9" borderId="1" xfId="0" applyFont="1" applyFill="1" applyBorder="1" applyAlignment="1">
      <alignment horizontal="right"/>
    </xf>
    <xf numFmtId="2" fontId="25" fillId="2" borderId="1" xfId="0" applyNumberFormat="1" applyFont="1" applyFill="1" applyBorder="1" applyAlignment="1">
      <alignment horizontal="right"/>
    </xf>
    <xf numFmtId="0" fontId="12" fillId="16" borderId="0" xfId="0" applyFont="1" applyFill="1"/>
    <xf numFmtId="0" fontId="0" fillId="16" borderId="0" xfId="0" applyFill="1"/>
    <xf numFmtId="0" fontId="5" fillId="17" borderId="2" xfId="0" applyFont="1" applyFill="1" applyBorder="1"/>
    <xf numFmtId="0" fontId="5" fillId="17" borderId="12" xfId="0" applyFont="1" applyFill="1" applyBorder="1" applyAlignment="1">
      <alignment horizontal="center"/>
    </xf>
    <xf numFmtId="0" fontId="5" fillId="18" borderId="12" xfId="0" applyFont="1" applyFill="1" applyBorder="1"/>
    <xf numFmtId="0" fontId="27" fillId="18" borderId="12" xfId="0" applyFont="1" applyFill="1" applyBorder="1" applyAlignment="1">
      <alignment vertical="center"/>
    </xf>
    <xf numFmtId="0" fontId="28" fillId="17" borderId="12" xfId="0" applyFont="1" applyFill="1" applyBorder="1"/>
    <xf numFmtId="14" fontId="5" fillId="17" borderId="12" xfId="0" applyNumberFormat="1" applyFont="1" applyFill="1" applyBorder="1" applyAlignment="1">
      <alignment horizontal="center"/>
    </xf>
    <xf numFmtId="2" fontId="4" fillId="19" borderId="1" xfId="0" applyNumberFormat="1" applyFont="1" applyFill="1" applyBorder="1" applyAlignment="1">
      <alignment horizontal="right"/>
    </xf>
    <xf numFmtId="2" fontId="4" fillId="20" borderId="1" xfId="0" applyNumberFormat="1" applyFont="1" applyFill="1" applyBorder="1" applyAlignment="1">
      <alignment horizontal="right"/>
    </xf>
    <xf numFmtId="164" fontId="4" fillId="0" borderId="12" xfId="0" applyNumberFormat="1" applyFont="1" applyBorder="1" applyAlignment="1">
      <alignment horizontal="right"/>
    </xf>
    <xf numFmtId="0" fontId="29" fillId="0" borderId="12" xfId="0" applyFont="1" applyBorder="1" applyAlignment="1">
      <alignment horizontal="right" vertical="center"/>
    </xf>
    <xf numFmtId="9" fontId="4" fillId="0" borderId="12" xfId="0" applyNumberFormat="1" applyFont="1" applyBorder="1" applyAlignment="1">
      <alignment horizontal="right"/>
    </xf>
    <xf numFmtId="164" fontId="30" fillId="0" borderId="12" xfId="0" applyNumberFormat="1" applyFont="1" applyBorder="1"/>
    <xf numFmtId="0" fontId="5" fillId="17" borderId="2" xfId="0" applyFont="1" applyFill="1" applyBorder="1" applyAlignment="1">
      <alignment horizontal="right"/>
    </xf>
    <xf numFmtId="2" fontId="5" fillId="17" borderId="12" xfId="0" applyNumberFormat="1" applyFont="1" applyFill="1" applyBorder="1" applyAlignment="1">
      <alignment horizontal="right"/>
    </xf>
    <xf numFmtId="164" fontId="5" fillId="17" borderId="12" xfId="0" applyNumberFormat="1" applyFont="1" applyFill="1" applyBorder="1" applyAlignment="1">
      <alignment horizontal="right"/>
    </xf>
    <xf numFmtId="0" fontId="28" fillId="18" borderId="12" xfId="0" applyFont="1" applyFill="1" applyBorder="1" applyAlignment="1">
      <alignment horizontal="right"/>
    </xf>
    <xf numFmtId="165" fontId="5" fillId="17" borderId="12" xfId="0" applyNumberFormat="1" applyFont="1" applyFill="1" applyBorder="1" applyAlignment="1">
      <alignment horizontal="right"/>
    </xf>
    <xf numFmtId="0" fontId="24" fillId="18" borderId="12" xfId="0" applyFont="1" applyFill="1" applyBorder="1" applyAlignment="1">
      <alignment horizontal="right"/>
    </xf>
    <xf numFmtId="2" fontId="31" fillId="17" borderId="12" xfId="0" applyNumberFormat="1" applyFont="1" applyFill="1" applyBorder="1" applyAlignment="1">
      <alignment horizontal="right"/>
    </xf>
    <xf numFmtId="164" fontId="24" fillId="18" borderId="12" xfId="0" applyNumberFormat="1" applyFont="1" applyFill="1" applyBorder="1"/>
    <xf numFmtId="8" fontId="5" fillId="0" borderId="0" xfId="0" applyNumberFormat="1" applyFont="1"/>
    <xf numFmtId="164" fontId="2" fillId="0" borderId="1" xfId="0" applyNumberFormat="1" applyFont="1" applyBorder="1" applyAlignment="1">
      <alignment horizontal="center" vertical="center"/>
    </xf>
    <xf numFmtId="0" fontId="5" fillId="0" borderId="1" xfId="0" applyFont="1" applyBorder="1" applyAlignment="1">
      <alignment horizontal="center" vertical="center"/>
    </xf>
    <xf numFmtId="0" fontId="13" fillId="2" borderId="1" xfId="0" applyFont="1" applyFill="1" applyBorder="1" applyAlignment="1">
      <alignment horizontal="center" vertical="center"/>
    </xf>
    <xf numFmtId="164" fontId="12" fillId="14" borderId="1" xfId="0" applyNumberFormat="1" applyFont="1" applyFill="1" applyBorder="1"/>
    <xf numFmtId="164" fontId="12" fillId="10" borderId="1" xfId="0" applyNumberFormat="1" applyFont="1" applyFill="1" applyBorder="1"/>
    <xf numFmtId="170" fontId="12" fillId="5" borderId="1" xfId="0" applyNumberFormat="1" applyFont="1" applyFill="1" applyBorder="1"/>
    <xf numFmtId="170" fontId="12" fillId="14" borderId="1" xfId="0" applyNumberFormat="1" applyFont="1" applyFill="1" applyBorder="1"/>
    <xf numFmtId="164" fontId="14" fillId="0" borderId="0" xfId="0" applyNumberFormat="1" applyFont="1"/>
    <xf numFmtId="0" fontId="13" fillId="0" borderId="3"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center"/>
    </xf>
    <xf numFmtId="164" fontId="4" fillId="21" borderId="1" xfId="0" applyNumberFormat="1" applyFont="1" applyFill="1" applyBorder="1"/>
    <xf numFmtId="164" fontId="12" fillId="21" borderId="1" xfId="0" applyNumberFormat="1" applyFont="1" applyFill="1" applyBorder="1"/>
    <xf numFmtId="164" fontId="4" fillId="22" borderId="1" xfId="0" applyNumberFormat="1" applyFont="1" applyFill="1" applyBorder="1"/>
    <xf numFmtId="164" fontId="12" fillId="22" borderId="1" xfId="0" applyNumberFormat="1" applyFont="1" applyFill="1" applyBorder="1"/>
    <xf numFmtId="164" fontId="4" fillId="23" borderId="1" xfId="0" applyNumberFormat="1" applyFont="1" applyFill="1" applyBorder="1"/>
    <xf numFmtId="164" fontId="12" fillId="23" borderId="1" xfId="0" applyNumberFormat="1" applyFont="1" applyFill="1" applyBorder="1"/>
    <xf numFmtId="164" fontId="4" fillId="24" borderId="1" xfId="0" applyNumberFormat="1" applyFont="1" applyFill="1" applyBorder="1"/>
    <xf numFmtId="164" fontId="12" fillId="24" borderId="1" xfId="0" applyNumberFormat="1" applyFont="1" applyFill="1" applyBorder="1"/>
    <xf numFmtId="164" fontId="4" fillId="25" borderId="1" xfId="0" applyNumberFormat="1" applyFont="1" applyFill="1" applyBorder="1"/>
    <xf numFmtId="164" fontId="12" fillId="25" borderId="1" xfId="0" applyNumberFormat="1" applyFont="1" applyFill="1" applyBorder="1"/>
    <xf numFmtId="164" fontId="4" fillId="28" borderId="1" xfId="1" applyNumberFormat="1" applyFont="1" applyFill="1" applyBorder="1"/>
    <xf numFmtId="164" fontId="12" fillId="28" borderId="1" xfId="0" applyNumberFormat="1" applyFont="1" applyFill="1" applyBorder="1"/>
    <xf numFmtId="0" fontId="5" fillId="22" borderId="1" xfId="0" applyFont="1" applyFill="1" applyBorder="1" applyAlignment="1">
      <alignment horizontal="center" vertical="center"/>
    </xf>
    <xf numFmtId="0" fontId="5" fillId="23" borderId="1" xfId="0" applyFont="1" applyFill="1" applyBorder="1" applyAlignment="1">
      <alignment horizontal="center" vertical="center"/>
    </xf>
    <xf numFmtId="0" fontId="5" fillId="24" borderId="1" xfId="0" applyFont="1" applyFill="1" applyBorder="1" applyAlignment="1">
      <alignment horizontal="center" vertical="center"/>
    </xf>
    <xf numFmtId="0" fontId="5" fillId="25" borderId="1" xfId="0" applyFont="1" applyFill="1" applyBorder="1" applyAlignment="1">
      <alignment horizontal="center" vertical="center"/>
    </xf>
    <xf numFmtId="0" fontId="5" fillId="21" borderId="1" xfId="0" applyFont="1" applyFill="1" applyBorder="1" applyAlignment="1">
      <alignment horizontal="center" vertical="center"/>
    </xf>
    <xf numFmtId="0" fontId="5" fillId="28" borderId="1" xfId="0" applyFont="1" applyFill="1" applyBorder="1" applyAlignment="1">
      <alignment horizontal="center" vertical="center"/>
    </xf>
    <xf numFmtId="0" fontId="15" fillId="9" borderId="1" xfId="0" applyFont="1" applyFill="1" applyBorder="1" applyAlignment="1">
      <alignment horizontal="center" vertical="center"/>
    </xf>
    <xf numFmtId="0" fontId="15" fillId="22" borderId="1" xfId="0" applyFont="1" applyFill="1" applyBorder="1" applyAlignment="1">
      <alignment horizontal="center" vertical="center"/>
    </xf>
    <xf numFmtId="0" fontId="15" fillId="23" borderId="1" xfId="0" applyFont="1" applyFill="1" applyBorder="1" applyAlignment="1">
      <alignment horizontal="center" vertical="center"/>
    </xf>
    <xf numFmtId="0" fontId="15" fillId="24" borderId="1" xfId="0" applyFont="1" applyFill="1" applyBorder="1" applyAlignment="1">
      <alignment horizontal="center" vertical="center"/>
    </xf>
    <xf numFmtId="0" fontId="15" fillId="21" borderId="1" xfId="0" applyFont="1" applyFill="1" applyBorder="1" applyAlignment="1">
      <alignment horizontal="center" vertical="center"/>
    </xf>
    <xf numFmtId="0" fontId="15" fillId="26" borderId="1" xfId="0" applyFont="1" applyFill="1" applyBorder="1" applyAlignment="1">
      <alignment horizontal="center" vertical="center"/>
    </xf>
    <xf numFmtId="0" fontId="15" fillId="28" borderId="1" xfId="0" applyFont="1" applyFill="1" applyBorder="1" applyAlignment="1">
      <alignment horizontal="center" vertical="center"/>
    </xf>
    <xf numFmtId="166" fontId="15" fillId="22" borderId="1" xfId="0" applyNumberFormat="1" applyFont="1" applyFill="1" applyBorder="1" applyAlignment="1">
      <alignment horizontal="center" vertical="center"/>
    </xf>
    <xf numFmtId="166" fontId="15" fillId="23" borderId="1" xfId="0" applyNumberFormat="1" applyFont="1" applyFill="1" applyBorder="1" applyAlignment="1">
      <alignment horizontal="center" vertical="center"/>
    </xf>
    <xf numFmtId="166" fontId="15" fillId="24" borderId="1" xfId="0" applyNumberFormat="1" applyFont="1" applyFill="1" applyBorder="1" applyAlignment="1">
      <alignment horizontal="center" vertical="center"/>
    </xf>
    <xf numFmtId="166" fontId="15" fillId="21" borderId="1" xfId="0" applyNumberFormat="1" applyFont="1" applyFill="1" applyBorder="1" applyAlignment="1">
      <alignment horizontal="center" vertical="center"/>
    </xf>
    <xf numFmtId="166" fontId="15" fillId="26" borderId="1" xfId="0" applyNumberFormat="1" applyFont="1" applyFill="1" applyBorder="1" applyAlignment="1">
      <alignment horizontal="center" vertical="center"/>
    </xf>
    <xf numFmtId="166" fontId="15" fillId="28" borderId="1" xfId="0" applyNumberFormat="1" applyFont="1" applyFill="1" applyBorder="1" applyAlignment="1">
      <alignment horizontal="center" vertical="center"/>
    </xf>
    <xf numFmtId="166" fontId="15" fillId="9" borderId="1" xfId="0" applyNumberFormat="1" applyFont="1" applyFill="1" applyBorder="1" applyAlignment="1">
      <alignment horizontal="center" vertical="center"/>
    </xf>
    <xf numFmtId="0" fontId="5" fillId="17" borderId="2" xfId="0" applyFont="1" applyFill="1" applyBorder="1" applyAlignment="1">
      <alignment horizontal="center" vertical="center"/>
    </xf>
    <xf numFmtId="0" fontId="5" fillId="17" borderId="12" xfId="0" applyFont="1" applyFill="1" applyBorder="1" applyAlignment="1">
      <alignment horizontal="center" vertical="center"/>
    </xf>
    <xf numFmtId="0" fontId="5" fillId="18" borderId="12" xfId="0" applyFont="1" applyFill="1" applyBorder="1" applyAlignment="1">
      <alignment horizontal="center" vertical="center"/>
    </xf>
    <xf numFmtId="0" fontId="12" fillId="30" borderId="0" xfId="0" applyFont="1" applyFill="1"/>
    <xf numFmtId="0" fontId="0" fillId="30" borderId="0" xfId="0" applyFill="1"/>
    <xf numFmtId="164" fontId="4" fillId="2" borderId="6" xfId="0" applyNumberFormat="1" applyFont="1" applyFill="1" applyBorder="1" applyAlignment="1">
      <alignment horizontal="right" vertical="center"/>
    </xf>
    <xf numFmtId="164" fontId="4" fillId="2" borderId="7" xfId="0" applyNumberFormat="1" applyFont="1" applyFill="1" applyBorder="1" applyAlignment="1">
      <alignment horizontal="right" vertical="center"/>
    </xf>
    <xf numFmtId="0" fontId="4" fillId="31" borderId="0" xfId="0" applyFont="1" applyFill="1"/>
    <xf numFmtId="0" fontId="30" fillId="31" borderId="0" xfId="0" applyFont="1" applyFill="1"/>
    <xf numFmtId="0" fontId="5" fillId="17" borderId="2" xfId="0" applyFont="1" applyFill="1" applyBorder="1" applyAlignment="1">
      <alignment horizontal="center"/>
    </xf>
    <xf numFmtId="0" fontId="5" fillId="18" borderId="12" xfId="0" applyFont="1" applyFill="1" applyBorder="1" applyAlignment="1">
      <alignment horizontal="center"/>
    </xf>
    <xf numFmtId="2" fontId="4" fillId="32" borderId="1" xfId="0" applyNumberFormat="1" applyFont="1" applyFill="1" applyBorder="1" applyAlignment="1">
      <alignment horizontal="right"/>
    </xf>
    <xf numFmtId="0" fontId="15" fillId="30" borderId="0" xfId="0" applyFont="1" applyFill="1" applyAlignment="1">
      <alignment horizontal="center"/>
    </xf>
    <xf numFmtId="0" fontId="4" fillId="34" borderId="0" xfId="0" applyFont="1" applyFill="1"/>
    <xf numFmtId="0" fontId="30" fillId="34" borderId="0" xfId="0" applyFont="1" applyFill="1"/>
    <xf numFmtId="0" fontId="20" fillId="9" borderId="1" xfId="0" applyFont="1" applyFill="1" applyBorder="1"/>
    <xf numFmtId="0" fontId="5" fillId="17" borderId="1" xfId="0" applyFont="1" applyFill="1" applyBorder="1" applyAlignment="1">
      <alignment horizontal="center"/>
    </xf>
    <xf numFmtId="0" fontId="5" fillId="17" borderId="1" xfId="0" applyFont="1" applyFill="1" applyBorder="1"/>
    <xf numFmtId="14" fontId="5" fillId="17" borderId="1" xfId="0" applyNumberFormat="1" applyFont="1" applyFill="1" applyBorder="1" applyAlignment="1">
      <alignment horizontal="center"/>
    </xf>
    <xf numFmtId="2" fontId="0" fillId="0" borderId="1" xfId="0" applyNumberFormat="1" applyBorder="1"/>
    <xf numFmtId="0" fontId="5" fillId="9" borderId="1" xfId="0" applyFont="1" applyFill="1" applyBorder="1"/>
    <xf numFmtId="0" fontId="2" fillId="2" borderId="10" xfId="0" applyFont="1" applyFill="1" applyBorder="1"/>
    <xf numFmtId="0" fontId="2" fillId="2" borderId="8" xfId="0" applyFont="1" applyFill="1" applyBorder="1"/>
    <xf numFmtId="0" fontId="2" fillId="2" borderId="11" xfId="0" applyFont="1" applyFill="1" applyBorder="1"/>
    <xf numFmtId="2" fontId="0" fillId="0" borderId="1" xfId="0" applyNumberFormat="1" applyBorder="1" applyAlignment="1">
      <alignment vertical="center"/>
    </xf>
    <xf numFmtId="14" fontId="13" fillId="2" borderId="1" xfId="0" applyNumberFormat="1" applyFont="1" applyFill="1" applyBorder="1" applyAlignment="1">
      <alignment horizontal="left"/>
    </xf>
    <xf numFmtId="9" fontId="4" fillId="0" borderId="1" xfId="0" applyNumberFormat="1" applyFont="1" applyBorder="1" applyAlignment="1">
      <alignment horizontal="right"/>
    </xf>
    <xf numFmtId="0" fontId="0" fillId="9" borderId="1" xfId="0" applyFill="1" applyBorder="1"/>
    <xf numFmtId="0" fontId="5" fillId="35" borderId="1" xfId="0" applyFont="1" applyFill="1" applyBorder="1" applyAlignment="1">
      <alignment horizontal="center"/>
    </xf>
    <xf numFmtId="0" fontId="20" fillId="9" borderId="1" xfId="0" applyFont="1" applyFill="1" applyBorder="1" applyAlignment="1">
      <alignment horizontal="center"/>
    </xf>
    <xf numFmtId="0" fontId="5" fillId="35" borderId="1" xfId="0" applyFont="1" applyFill="1" applyBorder="1" applyAlignment="1">
      <alignment horizontal="right"/>
    </xf>
    <xf numFmtId="2" fontId="5" fillId="9" borderId="1" xfId="0" applyNumberFormat="1" applyFont="1" applyFill="1" applyBorder="1" applyAlignment="1">
      <alignment horizontal="right"/>
    </xf>
    <xf numFmtId="164" fontId="0" fillId="9" borderId="1" xfId="0" applyNumberFormat="1" applyFill="1" applyBorder="1"/>
    <xf numFmtId="164" fontId="5" fillId="9" borderId="1" xfId="0" applyNumberFormat="1" applyFont="1" applyFill="1" applyBorder="1" applyAlignment="1">
      <alignment horizontal="right"/>
    </xf>
    <xf numFmtId="164" fontId="5" fillId="35" borderId="1" xfId="0" applyNumberFormat="1" applyFont="1" applyFill="1" applyBorder="1" applyAlignment="1">
      <alignment horizontal="right"/>
    </xf>
    <xf numFmtId="165" fontId="5" fillId="9" borderId="1" xfId="0" applyNumberFormat="1" applyFont="1" applyFill="1" applyBorder="1" applyAlignment="1">
      <alignment horizontal="right"/>
    </xf>
    <xf numFmtId="0" fontId="13" fillId="9" borderId="1" xfId="0" applyFont="1" applyFill="1" applyBorder="1" applyAlignment="1">
      <alignment horizontal="right"/>
    </xf>
    <xf numFmtId="2" fontId="25" fillId="9" borderId="1" xfId="0" applyNumberFormat="1" applyFont="1" applyFill="1" applyBorder="1" applyAlignment="1">
      <alignment horizontal="right"/>
    </xf>
    <xf numFmtId="164" fontId="33" fillId="0" borderId="1" xfId="0" applyNumberFormat="1" applyFont="1" applyBorder="1" applyAlignment="1">
      <alignment horizontal="center"/>
    </xf>
    <xf numFmtId="165" fontId="0" fillId="9" borderId="1" xfId="0" applyNumberFormat="1" applyFill="1" applyBorder="1"/>
    <xf numFmtId="0" fontId="5" fillId="17" borderId="10" xfId="0" applyFont="1" applyFill="1" applyBorder="1"/>
    <xf numFmtId="0" fontId="5" fillId="17" borderId="8" xfId="0" applyFont="1" applyFill="1" applyBorder="1"/>
    <xf numFmtId="164" fontId="24" fillId="9" borderId="1" xfId="0" applyNumberFormat="1" applyFont="1" applyFill="1" applyBorder="1" applyAlignment="1">
      <alignment horizontal="right"/>
    </xf>
    <xf numFmtId="0" fontId="34" fillId="9" borderId="1" xfId="0" applyFont="1" applyFill="1" applyBorder="1" applyAlignment="1">
      <alignment horizontal="left" vertical="center" wrapText="1"/>
    </xf>
    <xf numFmtId="0" fontId="9" fillId="9" borderId="1" xfId="0" applyFont="1" applyFill="1" applyBorder="1"/>
    <xf numFmtId="0" fontId="9" fillId="9" borderId="1" xfId="0" applyFont="1" applyFill="1" applyBorder="1" applyAlignment="1">
      <alignment horizontal="center"/>
    </xf>
    <xf numFmtId="0" fontId="35" fillId="9" borderId="1" xfId="0" applyFont="1" applyFill="1" applyBorder="1"/>
    <xf numFmtId="0" fontId="14" fillId="9" borderId="1" xfId="0" applyFont="1" applyFill="1" applyBorder="1"/>
    <xf numFmtId="0" fontId="13" fillId="9" borderId="1" xfId="0" applyFont="1" applyFill="1" applyBorder="1" applyAlignment="1">
      <alignment horizontal="center" vertical="center"/>
    </xf>
    <xf numFmtId="8" fontId="13" fillId="0" borderId="1" xfId="0" applyNumberFormat="1" applyFont="1" applyBorder="1" applyAlignment="1">
      <alignment horizontal="center"/>
    </xf>
    <xf numFmtId="164" fontId="5" fillId="0" borderId="1" xfId="0" applyNumberFormat="1" applyFont="1" applyBorder="1" applyAlignment="1">
      <alignment horizontal="center" vertical="center"/>
    </xf>
    <xf numFmtId="164" fontId="13" fillId="0" borderId="1" xfId="0" applyNumberFormat="1" applyFont="1" applyBorder="1" applyAlignment="1">
      <alignment horizontal="center"/>
    </xf>
    <xf numFmtId="0" fontId="35" fillId="9" borderId="1" xfId="0" applyFont="1" applyFill="1" applyBorder="1" applyAlignment="1">
      <alignment horizontal="center"/>
    </xf>
    <xf numFmtId="164" fontId="9" fillId="0" borderId="1" xfId="0" applyNumberFormat="1" applyFont="1" applyBorder="1" applyAlignment="1">
      <alignment horizontal="center"/>
    </xf>
    <xf numFmtId="0" fontId="9" fillId="9" borderId="1" xfId="0" applyFont="1" applyFill="1" applyBorder="1" applyAlignment="1">
      <alignment horizontal="center" vertical="center"/>
    </xf>
    <xf numFmtId="2" fontId="9" fillId="9" borderId="1" xfId="0" applyNumberFormat="1" applyFont="1" applyFill="1" applyBorder="1" applyAlignment="1">
      <alignment horizontal="center"/>
    </xf>
    <xf numFmtId="164" fontId="0" fillId="26" borderId="1" xfId="0" applyNumberFormat="1" applyFill="1" applyBorder="1"/>
    <xf numFmtId="0" fontId="20" fillId="26" borderId="1" xfId="0" applyFont="1" applyFill="1" applyBorder="1" applyAlignment="1">
      <alignment horizontal="center" vertical="center"/>
    </xf>
    <xf numFmtId="0" fontId="12" fillId="9" borderId="1" xfId="0" applyFont="1" applyFill="1" applyBorder="1" applyAlignment="1">
      <alignment horizontal="center" vertical="center"/>
    </xf>
    <xf numFmtId="14" fontId="12" fillId="9" borderId="1" xfId="0" applyNumberFormat="1" applyFont="1" applyFill="1" applyBorder="1" applyAlignment="1">
      <alignment horizontal="center"/>
    </xf>
    <xf numFmtId="0" fontId="12" fillId="9" borderId="1" xfId="0" applyFont="1" applyFill="1" applyBorder="1" applyAlignment="1">
      <alignment horizontal="center"/>
    </xf>
    <xf numFmtId="0" fontId="12" fillId="9" borderId="1" xfId="0" applyFont="1" applyFill="1" applyBorder="1" applyAlignment="1">
      <alignment vertical="center"/>
    </xf>
    <xf numFmtId="0" fontId="12" fillId="14" borderId="1" xfId="0" applyFont="1" applyFill="1" applyBorder="1"/>
    <xf numFmtId="0" fontId="12" fillId="10" borderId="1" xfId="0" applyFont="1" applyFill="1" applyBorder="1" applyAlignment="1">
      <alignment vertical="center"/>
    </xf>
    <xf numFmtId="0" fontId="12" fillId="10" borderId="1" xfId="0" applyFont="1" applyFill="1" applyBorder="1"/>
    <xf numFmtId="0" fontId="15" fillId="14" borderId="1" xfId="0" applyFont="1" applyFill="1" applyBorder="1" applyAlignment="1">
      <alignment horizontal="center" vertical="center"/>
    </xf>
    <xf numFmtId="0" fontId="15" fillId="39" borderId="1" xfId="0" applyFont="1" applyFill="1" applyBorder="1" applyAlignment="1">
      <alignment horizontal="center" vertical="center"/>
    </xf>
    <xf numFmtId="166" fontId="15" fillId="39" borderId="1"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xf>
    <xf numFmtId="0" fontId="5" fillId="14" borderId="1" xfId="0" applyFont="1" applyFill="1" applyBorder="1" applyAlignment="1">
      <alignment horizontal="center" vertical="center"/>
    </xf>
    <xf numFmtId="164" fontId="4" fillId="14" borderId="1" xfId="1" applyNumberFormat="1" applyFont="1" applyFill="1" applyBorder="1"/>
    <xf numFmtId="164" fontId="12" fillId="14" borderId="1" xfId="1" applyNumberFormat="1" applyFont="1" applyFill="1" applyBorder="1"/>
    <xf numFmtId="0" fontId="5" fillId="40" borderId="1" xfId="0" applyFont="1" applyFill="1" applyBorder="1" applyAlignment="1">
      <alignment horizontal="center" vertical="center"/>
    </xf>
    <xf numFmtId="164" fontId="4" fillId="40" borderId="1" xfId="0" applyNumberFormat="1" applyFont="1" applyFill="1" applyBorder="1"/>
    <xf numFmtId="164" fontId="12" fillId="40" borderId="1" xfId="0" applyNumberFormat="1" applyFont="1" applyFill="1" applyBorder="1"/>
    <xf numFmtId="0" fontId="15" fillId="40" borderId="1" xfId="0" applyFont="1" applyFill="1" applyBorder="1" applyAlignment="1">
      <alignment horizontal="center" vertical="center"/>
    </xf>
    <xf numFmtId="166" fontId="15" fillId="40" borderId="1" xfId="0" applyNumberFormat="1" applyFont="1" applyFill="1" applyBorder="1" applyAlignment="1">
      <alignment horizontal="center" vertical="center"/>
    </xf>
    <xf numFmtId="0" fontId="40" fillId="0" borderId="0" xfId="0" applyFont="1" applyAlignment="1">
      <alignment vertical="center" wrapText="1"/>
    </xf>
    <xf numFmtId="0" fontId="42" fillId="0" borderId="0" xfId="0" applyFont="1" applyAlignment="1">
      <alignment vertical="center" wrapText="1"/>
    </xf>
    <xf numFmtId="0" fontId="41" fillId="0" borderId="0" xfId="0" applyFont="1" applyAlignment="1">
      <alignment vertical="center" wrapText="1"/>
    </xf>
    <xf numFmtId="14" fontId="12" fillId="42" borderId="1" xfId="0" applyNumberFormat="1" applyFont="1" applyFill="1" applyBorder="1" applyAlignment="1">
      <alignment horizontal="center"/>
    </xf>
    <xf numFmtId="0" fontId="12" fillId="41" borderId="1" xfId="0" applyFont="1" applyFill="1" applyBorder="1" applyAlignment="1">
      <alignment vertical="center" wrapText="1"/>
    </xf>
    <xf numFmtId="0" fontId="12" fillId="41" borderId="1" xfId="0" applyFont="1" applyFill="1" applyBorder="1" applyAlignment="1">
      <alignment horizontal="center" vertical="center" wrapText="1"/>
    </xf>
    <xf numFmtId="0" fontId="15" fillId="42" borderId="1" xfId="0" applyFont="1" applyFill="1" applyBorder="1" applyAlignment="1">
      <alignment horizontal="center" vertical="center" wrapText="1"/>
    </xf>
    <xf numFmtId="0" fontId="0" fillId="0" borderId="5" xfId="0" applyBorder="1"/>
    <xf numFmtId="0" fontId="15" fillId="42" borderId="1" xfId="0" applyFont="1" applyFill="1" applyBorder="1" applyAlignment="1">
      <alignment horizontal="center" vertical="center"/>
    </xf>
    <xf numFmtId="171" fontId="12" fillId="41" borderId="1" xfId="0" applyNumberFormat="1" applyFont="1" applyFill="1" applyBorder="1" applyAlignment="1">
      <alignment vertical="center" wrapText="1"/>
    </xf>
    <xf numFmtId="1" fontId="12" fillId="0" borderId="1" xfId="0" applyNumberFormat="1" applyFont="1" applyBorder="1" applyAlignment="1">
      <alignment horizontal="center" vertical="center" wrapText="1"/>
    </xf>
    <xf numFmtId="171"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21" fillId="0" borderId="0" xfId="0" applyFont="1" applyAlignment="1">
      <alignment vertical="center"/>
    </xf>
    <xf numFmtId="14" fontId="12" fillId="0" borderId="0" xfId="0" applyNumberFormat="1" applyFont="1" applyAlignment="1">
      <alignment horizontal="center"/>
    </xf>
    <xf numFmtId="0" fontId="45" fillId="0" borderId="0" xfId="0" applyFont="1"/>
    <xf numFmtId="0" fontId="44" fillId="0" borderId="1" xfId="0" applyFont="1" applyBorder="1" applyAlignment="1">
      <alignment horizontal="center" vertical="center" wrapText="1"/>
    </xf>
    <xf numFmtId="0" fontId="12" fillId="0" borderId="0" xfId="0" applyFont="1" applyAlignment="1">
      <alignment vertical="center"/>
    </xf>
    <xf numFmtId="0" fontId="46" fillId="41" borderId="1" xfId="0" applyFont="1" applyFill="1" applyBorder="1" applyAlignment="1">
      <alignment horizontal="center" vertical="center" wrapText="1"/>
    </xf>
    <xf numFmtId="0" fontId="36" fillId="42" borderId="1" xfId="0" applyFont="1" applyFill="1" applyBorder="1" applyAlignment="1">
      <alignment horizontal="center" vertical="center" wrapText="1"/>
    </xf>
    <xf numFmtId="171" fontId="12" fillId="41" borderId="1" xfId="0" applyNumberFormat="1" applyFont="1" applyFill="1" applyBorder="1" applyAlignment="1">
      <alignment horizontal="center" vertical="center" wrapText="1"/>
    </xf>
    <xf numFmtId="0" fontId="12" fillId="41" borderId="1" xfId="0" applyFont="1" applyFill="1" applyBorder="1" applyAlignment="1">
      <alignment horizontal="center" vertical="center"/>
    </xf>
    <xf numFmtId="0" fontId="15" fillId="8" borderId="1" xfId="0" applyFont="1" applyFill="1" applyBorder="1" applyAlignment="1">
      <alignment horizontal="center" vertical="center"/>
    </xf>
    <xf numFmtId="166" fontId="15" fillId="8" borderId="1" xfId="0" applyNumberFormat="1" applyFont="1" applyFill="1" applyBorder="1" applyAlignment="1">
      <alignment horizontal="center" vertical="center"/>
    </xf>
    <xf numFmtId="164" fontId="10" fillId="0" borderId="1" xfId="0" applyNumberFormat="1" applyFont="1" applyBorder="1" applyAlignment="1">
      <alignment horizontal="center" vertical="center"/>
    </xf>
    <xf numFmtId="164" fontId="37" fillId="16" borderId="0" xfId="0" applyNumberFormat="1" applyFont="1" applyFill="1"/>
    <xf numFmtId="164" fontId="12" fillId="0" borderId="1" xfId="0" applyNumberFormat="1" applyFont="1" applyBorder="1" applyAlignment="1">
      <alignment vertical="center"/>
    </xf>
    <xf numFmtId="0" fontId="12" fillId="0" borderId="1" xfId="0" applyFont="1" applyBorder="1" applyAlignment="1">
      <alignment vertical="center"/>
    </xf>
    <xf numFmtId="169" fontId="12" fillId="0" borderId="1" xfId="0" applyNumberFormat="1" applyFont="1" applyBorder="1" applyAlignment="1">
      <alignment vertical="center"/>
    </xf>
    <xf numFmtId="0" fontId="12" fillId="9" borderId="1" xfId="0" applyFont="1" applyFill="1" applyBorder="1"/>
    <xf numFmtId="0" fontId="12" fillId="4" borderId="3" xfId="0" applyFont="1" applyFill="1" applyBorder="1"/>
    <xf numFmtId="0" fontId="12" fillId="4" borderId="4" xfId="0" applyFont="1" applyFill="1" applyBorder="1"/>
    <xf numFmtId="0" fontId="12" fillId="4" borderId="5" xfId="0" applyFont="1" applyFill="1" applyBorder="1"/>
    <xf numFmtId="0" fontId="12" fillId="12" borderId="1" xfId="0" applyFont="1" applyFill="1" applyBorder="1"/>
    <xf numFmtId="0" fontId="15" fillId="46" borderId="1" xfId="0" applyFont="1" applyFill="1" applyBorder="1" applyAlignment="1">
      <alignment horizontal="center" vertical="center"/>
    </xf>
    <xf numFmtId="166" fontId="15" fillId="46" borderId="1" xfId="0" applyNumberFormat="1" applyFont="1" applyFill="1" applyBorder="1" applyAlignment="1">
      <alignment horizontal="center" vertical="center"/>
    </xf>
    <xf numFmtId="0" fontId="5" fillId="2" borderId="1" xfId="0" applyFont="1" applyFill="1" applyBorder="1" applyAlignment="1">
      <alignment horizontal="right"/>
    </xf>
    <xf numFmtId="14" fontId="13" fillId="2" borderId="1" xfId="0" applyNumberFormat="1" applyFont="1" applyFill="1" applyBorder="1" applyAlignment="1">
      <alignment horizontal="right"/>
    </xf>
    <xf numFmtId="164" fontId="44" fillId="0" borderId="1" xfId="0" applyNumberFormat="1" applyFont="1" applyBorder="1" applyAlignment="1">
      <alignment horizontal="center" vertical="center"/>
    </xf>
    <xf numFmtId="166" fontId="15" fillId="0" borderId="1" xfId="0" applyNumberFormat="1" applyFont="1" applyBorder="1" applyAlignment="1">
      <alignment horizontal="center"/>
    </xf>
    <xf numFmtId="166" fontId="15" fillId="9" borderId="1" xfId="0" applyNumberFormat="1" applyFont="1" applyFill="1" applyBorder="1" applyAlignment="1">
      <alignment horizontal="center"/>
    </xf>
    <xf numFmtId="0" fontId="48" fillId="47" borderId="0" xfId="0" applyFont="1" applyFill="1" applyAlignment="1">
      <alignment horizontal="center"/>
    </xf>
    <xf numFmtId="0" fontId="49" fillId="47" borderId="0" xfId="0" applyFont="1" applyFill="1" applyAlignment="1">
      <alignment horizontal="center"/>
    </xf>
    <xf numFmtId="164" fontId="50" fillId="0" borderId="0" xfId="0" applyNumberFormat="1" applyFont="1"/>
    <xf numFmtId="164" fontId="51" fillId="0" borderId="0" xfId="0" applyNumberFormat="1" applyFont="1"/>
    <xf numFmtId="0" fontId="53" fillId="0" borderId="0" xfId="0" applyFont="1"/>
    <xf numFmtId="0" fontId="47" fillId="9" borderId="1" xfId="0" applyFont="1" applyFill="1" applyBorder="1" applyAlignment="1">
      <alignment horizontal="center" vertical="center"/>
    </xf>
    <xf numFmtId="8" fontId="11" fillId="2" borderId="1" xfId="0" applyNumberFormat="1" applyFont="1" applyFill="1" applyBorder="1" applyAlignment="1">
      <alignment horizontal="center" vertical="center"/>
    </xf>
    <xf numFmtId="0" fontId="54" fillId="0" borderId="0" xfId="0" applyFont="1"/>
    <xf numFmtId="0" fontId="55" fillId="0" borderId="0" xfId="0" applyFont="1"/>
    <xf numFmtId="0" fontId="20" fillId="0" borderId="0" xfId="0" applyFont="1" applyAlignment="1">
      <alignment horizontal="center" vertical="center"/>
    </xf>
    <xf numFmtId="0" fontId="15" fillId="0" borderId="0" xfId="0" applyFont="1" applyAlignment="1">
      <alignment horizontal="center"/>
    </xf>
    <xf numFmtId="0" fontId="14" fillId="0" borderId="0" xfId="0" applyFont="1" applyAlignment="1">
      <alignment horizontal="center"/>
    </xf>
    <xf numFmtId="168" fontId="14" fillId="0" borderId="0" xfId="0" applyNumberFormat="1" applyFont="1"/>
    <xf numFmtId="0" fontId="22" fillId="0" borderId="0" xfId="0" applyFont="1"/>
    <xf numFmtId="0" fontId="22" fillId="0" borderId="0" xfId="0" applyFont="1" applyAlignment="1">
      <alignment horizontal="center"/>
    </xf>
    <xf numFmtId="0" fontId="14" fillId="0" borderId="0" xfId="0" applyFont="1" applyAlignment="1">
      <alignment horizontal="center" vertical="center"/>
    </xf>
    <xf numFmtId="0" fontId="18" fillId="0" borderId="0" xfId="0" applyFont="1"/>
    <xf numFmtId="0" fontId="18" fillId="0" borderId="0" xfId="0" applyFont="1" applyAlignment="1">
      <alignment horizontal="center" vertical="center"/>
    </xf>
    <xf numFmtId="0" fontId="18" fillId="0" borderId="0" xfId="0" applyFont="1" applyAlignment="1">
      <alignment horizontal="center"/>
    </xf>
    <xf numFmtId="0" fontId="15" fillId="0" borderId="0" xfId="0" applyFont="1"/>
    <xf numFmtId="164" fontId="15" fillId="0" borderId="0" xfId="0" applyNumberFormat="1" applyFont="1"/>
    <xf numFmtId="0" fontId="56" fillId="9" borderId="1" xfId="0" applyFont="1" applyFill="1" applyBorder="1" applyAlignment="1">
      <alignment horizontal="center" vertical="center"/>
    </xf>
    <xf numFmtId="0" fontId="57" fillId="9" borderId="1" xfId="0" applyFont="1" applyFill="1" applyBorder="1" applyAlignment="1">
      <alignment horizontal="center" vertical="center"/>
    </xf>
    <xf numFmtId="0" fontId="58" fillId="0" borderId="1" xfId="0" applyFont="1" applyBorder="1"/>
    <xf numFmtId="164" fontId="58" fillId="45" borderId="1" xfId="0" applyNumberFormat="1" applyFont="1" applyFill="1" applyBorder="1"/>
    <xf numFmtId="164" fontId="58" fillId="0" borderId="1" xfId="0" applyNumberFormat="1" applyFont="1" applyBorder="1"/>
    <xf numFmtId="0" fontId="56" fillId="9" borderId="1" xfId="0" applyFont="1" applyFill="1" applyBorder="1"/>
    <xf numFmtId="164" fontId="56" fillId="45" borderId="1" xfId="0" applyNumberFormat="1" applyFont="1" applyFill="1" applyBorder="1"/>
    <xf numFmtId="164" fontId="56" fillId="9" borderId="1" xfId="0" applyNumberFormat="1" applyFont="1" applyFill="1" applyBorder="1"/>
    <xf numFmtId="0" fontId="56" fillId="10" borderId="1" xfId="0" applyFont="1" applyFill="1" applyBorder="1"/>
    <xf numFmtId="164" fontId="56" fillId="10" borderId="1" xfId="0" applyNumberFormat="1" applyFont="1" applyFill="1" applyBorder="1"/>
    <xf numFmtId="0" fontId="36" fillId="9" borderId="1" xfId="0" applyFont="1" applyFill="1" applyBorder="1" applyAlignment="1">
      <alignment horizontal="center"/>
    </xf>
    <xf numFmtId="14" fontId="59" fillId="13" borderId="1" xfId="0" applyNumberFormat="1" applyFont="1" applyFill="1" applyBorder="1" applyAlignment="1">
      <alignment horizontal="center"/>
    </xf>
    <xf numFmtId="0" fontId="59" fillId="13" borderId="1" xfId="0" applyFont="1" applyFill="1" applyBorder="1" applyAlignment="1">
      <alignment horizontal="center"/>
    </xf>
    <xf numFmtId="168" fontId="36" fillId="13" borderId="1" xfId="0" applyNumberFormat="1" applyFont="1" applyFill="1" applyBorder="1" applyAlignment="1">
      <alignment horizontal="center"/>
    </xf>
    <xf numFmtId="14" fontId="59" fillId="0" borderId="1" xfId="0" applyNumberFormat="1" applyFont="1" applyBorder="1" applyAlignment="1">
      <alignment horizontal="center"/>
    </xf>
    <xf numFmtId="0" fontId="59" fillId="0" borderId="1" xfId="0" applyFont="1" applyBorder="1" applyAlignment="1">
      <alignment horizontal="center"/>
    </xf>
    <xf numFmtId="168" fontId="36" fillId="0" borderId="1" xfId="0" applyNumberFormat="1" applyFont="1" applyBorder="1" applyAlignment="1">
      <alignment horizontal="center"/>
    </xf>
    <xf numFmtId="14" fontId="59" fillId="0" borderId="6" xfId="0" applyNumberFormat="1" applyFont="1" applyBorder="1" applyAlignment="1">
      <alignment horizontal="center"/>
    </xf>
    <xf numFmtId="0" fontId="59" fillId="0" borderId="6" xfId="0" applyFont="1" applyBorder="1" applyAlignment="1">
      <alignment horizontal="center"/>
    </xf>
    <xf numFmtId="168" fontId="36" fillId="0" borderId="6" xfId="0" applyNumberFormat="1" applyFont="1" applyBorder="1" applyAlignment="1">
      <alignment horizontal="center"/>
    </xf>
    <xf numFmtId="0" fontId="36" fillId="0" borderId="3" xfId="0" applyFont="1" applyBorder="1" applyAlignment="1">
      <alignment horizontal="center" vertical="center"/>
    </xf>
    <xf numFmtId="14" fontId="59" fillId="0" borderId="4" xfId="0" applyNumberFormat="1" applyFont="1" applyBorder="1" applyAlignment="1">
      <alignment horizontal="center"/>
    </xf>
    <xf numFmtId="0" fontId="59" fillId="0" borderId="4" xfId="0" applyFont="1" applyBorder="1" applyAlignment="1">
      <alignment horizontal="center"/>
    </xf>
    <xf numFmtId="168" fontId="36" fillId="0" borderId="4" xfId="0" applyNumberFormat="1" applyFont="1" applyBorder="1" applyAlignment="1">
      <alignment horizontal="center"/>
    </xf>
    <xf numFmtId="0" fontId="59" fillId="0" borderId="5" xfId="0" applyFont="1" applyBorder="1" applyAlignment="1">
      <alignment horizontal="center"/>
    </xf>
    <xf numFmtId="0" fontId="36" fillId="0" borderId="13" xfId="0" applyFont="1" applyBorder="1" applyAlignment="1">
      <alignment horizontal="center" vertical="center"/>
    </xf>
    <xf numFmtId="14" fontId="59" fillId="0" borderId="9" xfId="0" applyNumberFormat="1" applyFont="1" applyBorder="1" applyAlignment="1">
      <alignment horizontal="center"/>
    </xf>
    <xf numFmtId="0" fontId="59" fillId="0" borderId="9" xfId="0" applyFont="1" applyBorder="1" applyAlignment="1">
      <alignment horizontal="center"/>
    </xf>
    <xf numFmtId="168" fontId="36" fillId="0" borderId="9" xfId="0" applyNumberFormat="1" applyFont="1" applyBorder="1" applyAlignment="1">
      <alignment horizontal="center"/>
    </xf>
    <xf numFmtId="0" fontId="59" fillId="0" borderId="12" xfId="0" applyFont="1" applyBorder="1" applyAlignment="1">
      <alignment horizontal="center"/>
    </xf>
    <xf numFmtId="168" fontId="46" fillId="13" borderId="2" xfId="0" applyNumberFormat="1" applyFont="1" applyFill="1" applyBorder="1" applyAlignment="1">
      <alignment horizontal="center"/>
    </xf>
    <xf numFmtId="0" fontId="59" fillId="9" borderId="2" xfId="0" applyFont="1" applyFill="1" applyBorder="1" applyAlignment="1">
      <alignment horizontal="center"/>
    </xf>
    <xf numFmtId="0" fontId="46" fillId="10" borderId="13" xfId="0" applyFont="1" applyFill="1" applyBorder="1" applyAlignment="1">
      <alignment horizontal="right" vertical="center"/>
    </xf>
    <xf numFmtId="0" fontId="46" fillId="10" borderId="9" xfId="0" applyFont="1" applyFill="1" applyBorder="1" applyAlignment="1">
      <alignment horizontal="right" vertical="center"/>
    </xf>
    <xf numFmtId="168" fontId="46" fillId="10" borderId="2" xfId="0" applyNumberFormat="1" applyFont="1" applyFill="1" applyBorder="1" applyAlignment="1">
      <alignment horizontal="center"/>
    </xf>
    <xf numFmtId="0" fontId="59" fillId="10" borderId="2" xfId="0" applyFont="1" applyFill="1" applyBorder="1" applyAlignment="1">
      <alignment horizontal="center"/>
    </xf>
    <xf numFmtId="0" fontId="46" fillId="10" borderId="3" xfId="0" applyFont="1" applyFill="1" applyBorder="1" applyAlignment="1">
      <alignment horizontal="right" vertical="center"/>
    </xf>
    <xf numFmtId="0" fontId="46" fillId="10" borderId="4" xfId="0" applyFont="1" applyFill="1" applyBorder="1" applyAlignment="1">
      <alignment horizontal="right" vertical="center"/>
    </xf>
    <xf numFmtId="0" fontId="46" fillId="10" borderId="5" xfId="0" applyFont="1" applyFill="1" applyBorder="1" applyAlignment="1">
      <alignment horizontal="right" vertical="center"/>
    </xf>
    <xf numFmtId="168" fontId="46" fillId="10" borderId="1" xfId="0" applyNumberFormat="1" applyFont="1" applyFill="1" applyBorder="1"/>
    <xf numFmtId="168" fontId="59" fillId="10" borderId="1" xfId="0" applyNumberFormat="1" applyFont="1" applyFill="1" applyBorder="1"/>
    <xf numFmtId="0" fontId="59" fillId="10" borderId="1" xfId="0" applyFont="1" applyFill="1" applyBorder="1"/>
    <xf numFmtId="168" fontId="46" fillId="10" borderId="6" xfId="0" applyNumberFormat="1" applyFont="1" applyFill="1" applyBorder="1"/>
    <xf numFmtId="0" fontId="59" fillId="10" borderId="6" xfId="0" applyFont="1" applyFill="1" applyBorder="1"/>
    <xf numFmtId="0" fontId="46" fillId="10" borderId="10" xfId="0" applyFont="1" applyFill="1" applyBorder="1" applyAlignment="1">
      <alignment horizontal="right" vertical="center"/>
    </xf>
    <xf numFmtId="0" fontId="46" fillId="10" borderId="8" xfId="0" applyFont="1" applyFill="1" applyBorder="1" applyAlignment="1">
      <alignment horizontal="right" vertical="center"/>
    </xf>
    <xf numFmtId="0" fontId="36" fillId="12" borderId="10" xfId="0" applyFont="1" applyFill="1" applyBorder="1" applyAlignment="1">
      <alignment horizontal="right" vertical="center"/>
    </xf>
    <xf numFmtId="0" fontId="36" fillId="12" borderId="8" xfId="0" applyFont="1" applyFill="1" applyBorder="1" applyAlignment="1">
      <alignment horizontal="right" vertical="center"/>
    </xf>
    <xf numFmtId="168" fontId="36" fillId="12" borderId="1" xfId="0" applyNumberFormat="1" applyFont="1" applyFill="1" applyBorder="1"/>
    <xf numFmtId="0" fontId="59" fillId="12" borderId="1" xfId="0" applyFont="1" applyFill="1" applyBorder="1"/>
    <xf numFmtId="0" fontId="36" fillId="12" borderId="3" xfId="0" applyFont="1" applyFill="1" applyBorder="1" applyAlignment="1">
      <alignment horizontal="right" vertical="center"/>
    </xf>
    <xf numFmtId="0" fontId="36" fillId="12" borderId="4" xfId="0" applyFont="1" applyFill="1" applyBorder="1" applyAlignment="1">
      <alignment horizontal="right" vertical="center"/>
    </xf>
    <xf numFmtId="168" fontId="36" fillId="7" borderId="1" xfId="0" applyNumberFormat="1" applyFont="1" applyFill="1" applyBorder="1"/>
    <xf numFmtId="0" fontId="59" fillId="12" borderId="5" xfId="0" applyFont="1" applyFill="1" applyBorder="1"/>
    <xf numFmtId="168" fontId="36" fillId="0" borderId="4" xfId="0" applyNumberFormat="1" applyFont="1" applyBorder="1"/>
    <xf numFmtId="0" fontId="59" fillId="0" borderId="5" xfId="0" applyFont="1" applyBorder="1"/>
    <xf numFmtId="14" fontId="59" fillId="13" borderId="2" xfId="0" applyNumberFormat="1" applyFont="1" applyFill="1" applyBorder="1" applyAlignment="1">
      <alignment horizontal="center"/>
    </xf>
    <xf numFmtId="0" fontId="59" fillId="13" borderId="2" xfId="0" applyFont="1" applyFill="1" applyBorder="1" applyAlignment="1">
      <alignment horizontal="center"/>
    </xf>
    <xf numFmtId="168" fontId="36" fillId="13" borderId="2" xfId="0" applyNumberFormat="1" applyFont="1" applyFill="1" applyBorder="1" applyAlignment="1">
      <alignment horizontal="center"/>
    </xf>
    <xf numFmtId="168" fontId="36" fillId="8" borderId="1" xfId="0" applyNumberFormat="1" applyFont="1" applyFill="1" applyBorder="1"/>
    <xf numFmtId="0" fontId="59" fillId="0" borderId="4" xfId="0" applyFont="1" applyBorder="1"/>
    <xf numFmtId="14" fontId="60" fillId="0" borderId="1" xfId="0" applyNumberFormat="1" applyFont="1" applyBorder="1" applyAlignment="1">
      <alignment horizontal="center"/>
    </xf>
    <xf numFmtId="0" fontId="36" fillId="0" borderId="3" xfId="0" applyFont="1" applyBorder="1" applyAlignment="1">
      <alignment vertical="center"/>
    </xf>
    <xf numFmtId="0" fontId="36" fillId="10" borderId="13" xfId="0" applyFont="1" applyFill="1" applyBorder="1" applyAlignment="1">
      <alignment horizontal="right" vertical="center"/>
    </xf>
    <xf numFmtId="0" fontId="36" fillId="10" borderId="9" xfId="0" applyFont="1" applyFill="1" applyBorder="1" applyAlignment="1">
      <alignment horizontal="right" vertical="center"/>
    </xf>
    <xf numFmtId="168" fontId="36" fillId="10" borderId="2" xfId="0" applyNumberFormat="1" applyFont="1" applyFill="1" applyBorder="1" applyAlignment="1">
      <alignment horizontal="center"/>
    </xf>
    <xf numFmtId="0" fontId="61" fillId="10" borderId="1" xfId="0" applyFont="1" applyFill="1" applyBorder="1"/>
    <xf numFmtId="14" fontId="59" fillId="0" borderId="2" xfId="0" applyNumberFormat="1" applyFont="1" applyBorder="1" applyAlignment="1">
      <alignment horizontal="center"/>
    </xf>
    <xf numFmtId="0" fontId="36" fillId="9" borderId="7" xfId="0" applyFont="1" applyFill="1" applyBorder="1" applyAlignment="1">
      <alignment vertical="center"/>
    </xf>
    <xf numFmtId="0" fontId="61" fillId="9" borderId="2" xfId="0" applyFont="1" applyFill="1" applyBorder="1" applyAlignment="1">
      <alignment horizontal="center"/>
    </xf>
    <xf numFmtId="0" fontId="46" fillId="10" borderId="3" xfId="0" applyFont="1" applyFill="1" applyBorder="1" applyAlignment="1">
      <alignment horizontal="right"/>
    </xf>
    <xf numFmtId="0" fontId="46" fillId="10" borderId="4" xfId="0" applyFont="1" applyFill="1" applyBorder="1" applyAlignment="1">
      <alignment horizontal="right"/>
    </xf>
    <xf numFmtId="0" fontId="61" fillId="10" borderId="2" xfId="0" applyFont="1" applyFill="1" applyBorder="1" applyAlignment="1">
      <alignment horizontal="center"/>
    </xf>
    <xf numFmtId="0" fontId="62" fillId="37" borderId="8" xfId="0" applyFont="1" applyFill="1" applyBorder="1" applyAlignment="1">
      <alignment horizontal="right" vertical="center"/>
    </xf>
    <xf numFmtId="168" fontId="36" fillId="6" borderId="1" xfId="0" applyNumberFormat="1" applyFont="1" applyFill="1" applyBorder="1"/>
    <xf numFmtId="0" fontId="59" fillId="13" borderId="1" xfId="0" applyFont="1" applyFill="1" applyBorder="1" applyAlignment="1">
      <alignment horizontal="center" vertical="center"/>
    </xf>
    <xf numFmtId="168" fontId="59" fillId="13" borderId="1" xfId="0" applyNumberFormat="1" applyFont="1" applyFill="1" applyBorder="1" applyAlignment="1">
      <alignment horizontal="center"/>
    </xf>
    <xf numFmtId="0" fontId="46" fillId="10" borderId="9" xfId="0" applyFont="1" applyFill="1" applyBorder="1" applyAlignment="1">
      <alignment horizontal="right"/>
    </xf>
    <xf numFmtId="14" fontId="59" fillId="13" borderId="1" xfId="0" applyNumberFormat="1" applyFont="1" applyFill="1" applyBorder="1" applyAlignment="1">
      <alignment horizontal="center" vertical="center"/>
    </xf>
    <xf numFmtId="0" fontId="36" fillId="9" borderId="14" xfId="0" applyFont="1" applyFill="1" applyBorder="1" applyAlignment="1">
      <alignment horizontal="center" vertical="center"/>
    </xf>
    <xf numFmtId="0" fontId="36" fillId="10" borderId="3" xfId="0" applyFont="1" applyFill="1" applyBorder="1" applyAlignment="1">
      <alignment horizontal="right"/>
    </xf>
    <xf numFmtId="0" fontId="36" fillId="10" borderId="9" xfId="0" applyFont="1" applyFill="1" applyBorder="1" applyAlignment="1">
      <alignment horizontal="right"/>
    </xf>
    <xf numFmtId="0" fontId="36" fillId="10" borderId="3" xfId="0" applyFont="1" applyFill="1" applyBorder="1" applyAlignment="1">
      <alignment horizontal="right" vertical="center"/>
    </xf>
    <xf numFmtId="0" fontId="36" fillId="10" borderId="4" xfId="0" applyFont="1" applyFill="1" applyBorder="1" applyAlignment="1">
      <alignment horizontal="right" vertical="center"/>
    </xf>
    <xf numFmtId="0" fontId="36" fillId="10" borderId="5" xfId="0" applyFont="1" applyFill="1" applyBorder="1" applyAlignment="1">
      <alignment horizontal="right" vertical="center"/>
    </xf>
    <xf numFmtId="168" fontId="36" fillId="10" borderId="1" xfId="0" applyNumberFormat="1" applyFont="1" applyFill="1" applyBorder="1"/>
    <xf numFmtId="0" fontId="36" fillId="12" borderId="5" xfId="0" applyFont="1" applyFill="1" applyBorder="1" applyAlignment="1">
      <alignment horizontal="right" vertical="center"/>
    </xf>
    <xf numFmtId="0" fontId="36" fillId="12" borderId="13" xfId="0" applyFont="1" applyFill="1" applyBorder="1" applyAlignment="1">
      <alignment horizontal="right" vertical="center"/>
    </xf>
    <xf numFmtId="0" fontId="36" fillId="12" borderId="9" xfId="0" applyFont="1" applyFill="1" applyBorder="1" applyAlignment="1">
      <alignment horizontal="right" vertical="center"/>
    </xf>
    <xf numFmtId="44" fontId="36" fillId="0" borderId="1" xfId="0" applyNumberFormat="1" applyFont="1" applyBorder="1" applyAlignment="1">
      <alignment horizontal="center"/>
    </xf>
    <xf numFmtId="0" fontId="60" fillId="0" borderId="4" xfId="0" applyFont="1" applyBorder="1"/>
    <xf numFmtId="168" fontId="63" fillId="0" borderId="4" xfId="0" applyNumberFormat="1" applyFont="1" applyBorder="1"/>
    <xf numFmtId="0" fontId="60" fillId="0" borderId="5" xfId="0" applyFont="1" applyBorder="1"/>
    <xf numFmtId="14" fontId="60" fillId="36" borderId="12" xfId="0" applyNumberFormat="1" applyFont="1" applyFill="1" applyBorder="1" applyAlignment="1">
      <alignment horizontal="center" vertical="center"/>
    </xf>
    <xf numFmtId="0" fontId="60" fillId="36" borderId="12" xfId="0" applyFont="1" applyFill="1" applyBorder="1" applyAlignment="1">
      <alignment horizontal="center" vertical="center"/>
    </xf>
    <xf numFmtId="168" fontId="63" fillId="36" borderId="12" xfId="0" applyNumberFormat="1" applyFont="1" applyFill="1" applyBorder="1" applyAlignment="1">
      <alignment horizontal="center"/>
    </xf>
    <xf numFmtId="14" fontId="60" fillId="0" borderId="12" xfId="0" applyNumberFormat="1" applyFont="1" applyBorder="1" applyAlignment="1">
      <alignment horizontal="center"/>
    </xf>
    <xf numFmtId="0" fontId="60" fillId="0" borderId="12" xfId="0" applyFont="1" applyBorder="1" applyAlignment="1">
      <alignment horizontal="center"/>
    </xf>
    <xf numFmtId="168" fontId="63" fillId="0" borderId="12" xfId="0" applyNumberFormat="1" applyFont="1" applyBorder="1" applyAlignment="1">
      <alignment horizontal="center"/>
    </xf>
    <xf numFmtId="44" fontId="63" fillId="0" borderId="12" xfId="0" applyNumberFormat="1" applyFont="1" applyBorder="1" applyAlignment="1">
      <alignment horizontal="center"/>
    </xf>
    <xf numFmtId="0" fontId="60" fillId="0" borderId="1" xfId="0" applyFont="1" applyBorder="1" applyAlignment="1">
      <alignment horizontal="center"/>
    </xf>
    <xf numFmtId="168" fontId="63" fillId="0" borderId="1" xfId="0" applyNumberFormat="1" applyFont="1" applyBorder="1" applyAlignment="1">
      <alignment horizontal="center"/>
    </xf>
    <xf numFmtId="44" fontId="63" fillId="0" borderId="1" xfId="0" applyNumberFormat="1" applyFont="1" applyBorder="1" applyAlignment="1">
      <alignment horizontal="center"/>
    </xf>
    <xf numFmtId="0" fontId="60" fillId="18" borderId="12" xfId="0" applyFont="1" applyFill="1" applyBorder="1" applyAlignment="1">
      <alignment horizontal="center"/>
    </xf>
    <xf numFmtId="168" fontId="63" fillId="37" borderId="12" xfId="0" applyNumberFormat="1" applyFont="1" applyFill="1" applyBorder="1"/>
    <xf numFmtId="0" fontId="60" fillId="37" borderId="12" xfId="0" applyFont="1" applyFill="1" applyBorder="1"/>
    <xf numFmtId="0" fontId="63" fillId="37" borderId="13" xfId="0" applyFont="1" applyFill="1" applyBorder="1" applyAlignment="1">
      <alignment horizontal="right" vertical="center"/>
    </xf>
    <xf numFmtId="0" fontId="63" fillId="37" borderId="9" xfId="0" applyFont="1" applyFill="1" applyBorder="1" applyAlignment="1">
      <alignment horizontal="right" vertical="center"/>
    </xf>
    <xf numFmtId="0" fontId="63" fillId="37" borderId="12" xfId="0" applyFont="1" applyFill="1" applyBorder="1" applyAlignment="1">
      <alignment horizontal="right" vertical="center"/>
    </xf>
    <xf numFmtId="0" fontId="63" fillId="38" borderId="13" xfId="0" applyFont="1" applyFill="1" applyBorder="1" applyAlignment="1">
      <alignment horizontal="right" vertical="center"/>
    </xf>
    <xf numFmtId="0" fontId="63" fillId="38" borderId="9" xfId="0" applyFont="1" applyFill="1" applyBorder="1" applyAlignment="1">
      <alignment horizontal="right" vertical="center"/>
    </xf>
    <xf numFmtId="0" fontId="63" fillId="38" borderId="12" xfId="0" applyFont="1" applyFill="1" applyBorder="1" applyAlignment="1">
      <alignment horizontal="right" vertical="center"/>
    </xf>
    <xf numFmtId="168" fontId="63" fillId="38" borderId="12" xfId="0" applyNumberFormat="1" applyFont="1" applyFill="1" applyBorder="1"/>
    <xf numFmtId="0" fontId="60" fillId="38" borderId="12" xfId="0" applyFont="1" applyFill="1" applyBorder="1"/>
    <xf numFmtId="168" fontId="63" fillId="19" borderId="2" xfId="0" applyNumberFormat="1" applyFont="1" applyFill="1" applyBorder="1"/>
    <xf numFmtId="14" fontId="60" fillId="48" borderId="12" xfId="0" applyNumberFormat="1" applyFont="1" applyFill="1" applyBorder="1" applyAlignment="1">
      <alignment horizontal="center" vertical="center"/>
    </xf>
    <xf numFmtId="0" fontId="60" fillId="48" borderId="12" xfId="0" applyFont="1" applyFill="1" applyBorder="1" applyAlignment="1">
      <alignment horizontal="center" vertical="center"/>
    </xf>
    <xf numFmtId="0" fontId="60" fillId="33" borderId="12" xfId="0" applyFont="1" applyFill="1" applyBorder="1" applyAlignment="1">
      <alignment horizontal="center" vertical="center"/>
    </xf>
    <xf numFmtId="164" fontId="63" fillId="36" borderId="12" xfId="0" applyNumberFormat="1" applyFont="1" applyFill="1" applyBorder="1" applyAlignment="1">
      <alignment horizontal="center"/>
    </xf>
    <xf numFmtId="0" fontId="36" fillId="0" borderId="1" xfId="0" applyFont="1" applyBorder="1"/>
    <xf numFmtId="14" fontId="59" fillId="45" borderId="1" xfId="0" applyNumberFormat="1" applyFont="1" applyFill="1" applyBorder="1" applyAlignment="1">
      <alignment horizontal="center" vertical="center"/>
    </xf>
    <xf numFmtId="0" fontId="59" fillId="45" borderId="1" xfId="0" applyFont="1" applyFill="1" applyBorder="1" applyAlignment="1">
      <alignment horizontal="center" vertical="center"/>
    </xf>
    <xf numFmtId="164" fontId="59" fillId="45" borderId="1" xfId="0" applyNumberFormat="1" applyFont="1" applyFill="1" applyBorder="1" applyAlignment="1">
      <alignment horizontal="center" vertical="center"/>
    </xf>
    <xf numFmtId="14" fontId="59" fillId="0" borderId="1" xfId="0" applyNumberFormat="1" applyFont="1" applyBorder="1" applyAlignment="1">
      <alignment horizontal="center" vertical="center"/>
    </xf>
    <xf numFmtId="0" fontId="59" fillId="0" borderId="1" xfId="0" applyFont="1" applyBorder="1" applyAlignment="1">
      <alignment horizontal="center" vertical="center"/>
    </xf>
    <xf numFmtId="164" fontId="59" fillId="0" borderId="1" xfId="0" applyNumberFormat="1" applyFont="1" applyBorder="1" applyAlignment="1">
      <alignment horizontal="center" vertical="center"/>
    </xf>
    <xf numFmtId="164" fontId="60" fillId="0" borderId="12" xfId="0" applyNumberFormat="1" applyFont="1" applyBorder="1" applyAlignment="1">
      <alignment horizontal="center"/>
    </xf>
    <xf numFmtId="164" fontId="36" fillId="45" borderId="1" xfId="0" applyNumberFormat="1" applyFont="1" applyFill="1" applyBorder="1"/>
    <xf numFmtId="0" fontId="59" fillId="9" borderId="1" xfId="0" applyFont="1" applyFill="1" applyBorder="1"/>
    <xf numFmtId="164" fontId="36" fillId="10" borderId="1" xfId="0" applyNumberFormat="1" applyFont="1" applyFill="1" applyBorder="1"/>
    <xf numFmtId="164" fontId="36" fillId="12" borderId="1" xfId="0" applyNumberFormat="1" applyFont="1" applyFill="1" applyBorder="1"/>
    <xf numFmtId="0" fontId="36" fillId="0" borderId="3" xfId="0" applyFont="1" applyBorder="1" applyAlignment="1">
      <alignment horizontal="right" vertical="center"/>
    </xf>
    <xf numFmtId="0" fontId="36" fillId="0" borderId="4" xfId="0" applyFont="1" applyBorder="1" applyAlignment="1">
      <alignment horizontal="right" vertical="center"/>
    </xf>
    <xf numFmtId="0" fontId="36" fillId="0" borderId="3" xfId="0" applyFont="1" applyBorder="1" applyAlignment="1">
      <alignment horizontal="center"/>
    </xf>
    <xf numFmtId="0" fontId="59" fillId="0" borderId="1" xfId="0" applyFont="1" applyBorder="1"/>
    <xf numFmtId="14" fontId="59" fillId="0" borderId="1" xfId="0" applyNumberFormat="1" applyFont="1" applyBorder="1"/>
    <xf numFmtId="0" fontId="63" fillId="0" borderId="3" xfId="0" applyFont="1" applyBorder="1" applyAlignment="1">
      <alignment horizontal="center"/>
    </xf>
    <xf numFmtId="0" fontId="59" fillId="0" borderId="0" xfId="0" applyFont="1"/>
    <xf numFmtId="164" fontId="58" fillId="0" borderId="1" xfId="0" applyNumberFormat="1" applyFont="1" applyBorder="1" applyAlignment="1">
      <alignment horizontal="left"/>
    </xf>
    <xf numFmtId="164" fontId="58" fillId="0" borderId="1" xfId="0" applyNumberFormat="1" applyFont="1" applyBorder="1" applyAlignment="1">
      <alignment horizontal="center"/>
    </xf>
    <xf numFmtId="168" fontId="63" fillId="20" borderId="2" xfId="0" applyNumberFormat="1" applyFont="1" applyFill="1" applyBorder="1"/>
    <xf numFmtId="0" fontId="52" fillId="0" borderId="0" xfId="0" applyFont="1" applyAlignment="1">
      <alignment horizontal="center"/>
    </xf>
    <xf numFmtId="0" fontId="65" fillId="0" borderId="0" xfId="0" applyFont="1"/>
    <xf numFmtId="0" fontId="1" fillId="0" borderId="0" xfId="0" applyFont="1"/>
    <xf numFmtId="164" fontId="66" fillId="10" borderId="1" xfId="0" applyNumberFormat="1" applyFont="1" applyFill="1" applyBorder="1"/>
    <xf numFmtId="164" fontId="66" fillId="45" borderId="1" xfId="0" applyNumberFormat="1" applyFont="1" applyFill="1" applyBorder="1"/>
    <xf numFmtId="44" fontId="36" fillId="0" borderId="1" xfId="3" applyFont="1" applyBorder="1" applyAlignment="1">
      <alignment horizontal="center"/>
    </xf>
    <xf numFmtId="168" fontId="36" fillId="0" borderId="1" xfId="3" applyNumberFormat="1" applyFont="1" applyBorder="1" applyAlignment="1">
      <alignment horizontal="center"/>
    </xf>
    <xf numFmtId="164" fontId="66" fillId="12" borderId="1" xfId="0" applyNumberFormat="1" applyFont="1" applyFill="1" applyBorder="1"/>
    <xf numFmtId="0" fontId="0" fillId="12" borderId="1" xfId="0" applyFill="1" applyBorder="1"/>
    <xf numFmtId="0" fontId="0" fillId="10" borderId="1" xfId="0" applyFill="1" applyBorder="1"/>
    <xf numFmtId="0" fontId="36" fillId="0" borderId="0" xfId="0" applyFont="1"/>
    <xf numFmtId="0" fontId="36" fillId="0" borderId="0" xfId="0" applyFont="1" applyAlignment="1">
      <alignment horizontal="center" vertical="center"/>
    </xf>
    <xf numFmtId="0" fontId="64" fillId="0" borderId="0" xfId="0" applyFont="1" applyAlignment="1">
      <alignment horizontal="center"/>
    </xf>
    <xf numFmtId="0" fontId="59" fillId="0" borderId="0" xfId="0" applyFont="1" applyAlignment="1">
      <alignment horizontal="center"/>
    </xf>
    <xf numFmtId="0" fontId="36" fillId="0" borderId="0" xfId="0" applyFont="1" applyAlignment="1">
      <alignment horizontal="right" vertical="center"/>
    </xf>
    <xf numFmtId="164" fontId="36" fillId="0" borderId="0" xfId="0" applyNumberFormat="1" applyFont="1"/>
    <xf numFmtId="0" fontId="36" fillId="0" borderId="0" xfId="0" applyFont="1" applyAlignment="1">
      <alignment horizontal="right"/>
    </xf>
    <xf numFmtId="0" fontId="36" fillId="0" borderId="1" xfId="0" applyFont="1" applyBorder="1" applyAlignment="1">
      <alignment horizontal="center" vertical="center"/>
    </xf>
    <xf numFmtId="0" fontId="67" fillId="0" borderId="0" xfId="0" applyFont="1"/>
    <xf numFmtId="164" fontId="56" fillId="7" borderId="1" xfId="0" applyNumberFormat="1" applyFont="1" applyFill="1" applyBorder="1"/>
    <xf numFmtId="164" fontId="36" fillId="6" borderId="1" xfId="0" applyNumberFormat="1" applyFont="1" applyFill="1" applyBorder="1"/>
    <xf numFmtId="164" fontId="13" fillId="9" borderId="1" xfId="0" applyNumberFormat="1" applyFont="1" applyFill="1" applyBorder="1"/>
    <xf numFmtId="0" fontId="69" fillId="0" borderId="0" xfId="0" applyFont="1" applyAlignment="1">
      <alignment horizontal="right"/>
    </xf>
    <xf numFmtId="173" fontId="69" fillId="0" borderId="0" xfId="0" applyNumberFormat="1" applyFont="1"/>
    <xf numFmtId="0" fontId="73" fillId="0" borderId="0" xfId="0" applyFont="1"/>
    <xf numFmtId="0" fontId="13" fillId="47" borderId="1" xfId="0" applyFont="1" applyFill="1" applyBorder="1" applyAlignment="1">
      <alignment horizontal="center"/>
    </xf>
    <xf numFmtId="0" fontId="12" fillId="7" borderId="1" xfId="0" applyFont="1" applyFill="1" applyBorder="1" applyAlignment="1">
      <alignment horizontal="center"/>
    </xf>
    <xf numFmtId="0" fontId="12" fillId="5" borderId="1" xfId="0" applyFont="1" applyFill="1" applyBorder="1" applyAlignment="1">
      <alignment horizontal="center"/>
    </xf>
    <xf numFmtId="0" fontId="68" fillId="0" borderId="1" xfId="0" applyFont="1" applyBorder="1"/>
    <xf numFmtId="164" fontId="68" fillId="0" borderId="1" xfId="0" applyNumberFormat="1" applyFont="1" applyBorder="1" applyAlignment="1">
      <alignment horizontal="right"/>
    </xf>
    <xf numFmtId="0" fontId="12" fillId="51" borderId="1" xfId="0" applyFont="1" applyFill="1" applyBorder="1" applyAlignment="1">
      <alignment horizontal="center"/>
    </xf>
    <xf numFmtId="0" fontId="13" fillId="47" borderId="1" xfId="0" applyFont="1" applyFill="1" applyBorder="1" applyAlignment="1">
      <alignment horizontal="right"/>
    </xf>
    <xf numFmtId="164" fontId="13" fillId="47" borderId="1" xfId="0" applyNumberFormat="1" applyFont="1" applyFill="1" applyBorder="1" applyAlignment="1">
      <alignment horizontal="right"/>
    </xf>
    <xf numFmtId="0" fontId="74" fillId="47" borderId="1" xfId="0" applyFont="1" applyFill="1" applyBorder="1" applyAlignment="1">
      <alignment horizontal="center"/>
    </xf>
    <xf numFmtId="0" fontId="12" fillId="50" borderId="1" xfId="0" applyFont="1" applyFill="1" applyBorder="1"/>
    <xf numFmtId="0" fontId="69" fillId="50" borderId="1" xfId="0" applyFont="1" applyFill="1" applyBorder="1" applyAlignment="1">
      <alignment horizontal="center"/>
    </xf>
    <xf numFmtId="0" fontId="0" fillId="50" borderId="1" xfId="0" applyFill="1" applyBorder="1"/>
    <xf numFmtId="9" fontId="69" fillId="50" borderId="1" xfId="0" applyNumberFormat="1" applyFont="1" applyFill="1" applyBorder="1" applyAlignment="1">
      <alignment horizontal="center"/>
    </xf>
    <xf numFmtId="0" fontId="2" fillId="47" borderId="1" xfId="0" applyFont="1" applyFill="1" applyBorder="1"/>
    <xf numFmtId="0" fontId="0" fillId="49" borderId="1" xfId="0" applyFill="1" applyBorder="1"/>
    <xf numFmtId="0" fontId="71" fillId="0" borderId="1" xfId="0" applyFont="1" applyBorder="1" applyAlignment="1">
      <alignment horizontal="center"/>
    </xf>
    <xf numFmtId="0" fontId="72" fillId="0" borderId="1" xfId="0" applyFont="1" applyBorder="1" applyAlignment="1">
      <alignment horizontal="center"/>
    </xf>
    <xf numFmtId="164" fontId="12" fillId="0" borderId="1" xfId="0" applyNumberFormat="1" applyFont="1" applyBorder="1" applyAlignment="1">
      <alignment horizontal="center" vertical="center"/>
    </xf>
    <xf numFmtId="164" fontId="37" fillId="0" borderId="1" xfId="0" applyNumberFormat="1" applyFont="1" applyBorder="1" applyAlignment="1">
      <alignment horizontal="center" vertical="center"/>
    </xf>
    <xf numFmtId="164" fontId="68" fillId="0" borderId="1" xfId="0" applyNumberFormat="1" applyFont="1" applyBorder="1" applyAlignment="1">
      <alignment horizontal="center" vertical="center"/>
    </xf>
    <xf numFmtId="164" fontId="13" fillId="47" borderId="1" xfId="0" applyNumberFormat="1" applyFont="1" applyFill="1" applyBorder="1" applyAlignment="1">
      <alignment horizontal="center" vertical="center"/>
    </xf>
    <xf numFmtId="0" fontId="0" fillId="0" borderId="1" xfId="0" applyBorder="1" applyAlignment="1">
      <alignment horizontal="center" vertical="center"/>
    </xf>
    <xf numFmtId="172" fontId="70" fillId="0" borderId="1" xfId="0" applyNumberFormat="1" applyFont="1" applyBorder="1" applyAlignment="1">
      <alignment horizontal="center" vertical="center"/>
    </xf>
    <xf numFmtId="172" fontId="37" fillId="0" borderId="1" xfId="0" applyNumberFormat="1" applyFont="1" applyBorder="1" applyAlignment="1">
      <alignment horizontal="center" vertical="center"/>
    </xf>
    <xf numFmtId="0" fontId="0" fillId="0" borderId="6" xfId="0" applyBorder="1"/>
    <xf numFmtId="0" fontId="0" fillId="0" borderId="6" xfId="0" applyBorder="1" applyAlignment="1">
      <alignment horizontal="center" vertical="center"/>
    </xf>
    <xf numFmtId="0" fontId="15" fillId="7" borderId="17" xfId="0" applyFont="1" applyFill="1" applyBorder="1"/>
    <xf numFmtId="0" fontId="15" fillId="7" borderId="18" xfId="0" applyFont="1" applyFill="1" applyBorder="1" applyAlignment="1">
      <alignment horizontal="center"/>
    </xf>
    <xf numFmtId="172" fontId="36" fillId="7" borderId="18" xfId="0" applyNumberFormat="1" applyFont="1" applyFill="1" applyBorder="1" applyAlignment="1">
      <alignment horizontal="center" vertical="center"/>
    </xf>
    <xf numFmtId="0" fontId="13" fillId="7" borderId="19" xfId="0" applyFont="1" applyFill="1" applyBorder="1" applyAlignment="1">
      <alignment horizontal="center"/>
    </xf>
    <xf numFmtId="0" fontId="15" fillId="29" borderId="6" xfId="0" applyFont="1" applyFill="1" applyBorder="1" applyAlignment="1">
      <alignment horizontal="center" vertical="center"/>
    </xf>
    <xf numFmtId="166" fontId="15" fillId="29" borderId="6" xfId="0" applyNumberFormat="1" applyFont="1" applyFill="1" applyBorder="1" applyAlignment="1">
      <alignment horizontal="center" vertical="center"/>
    </xf>
    <xf numFmtId="0" fontId="15" fillId="47" borderId="22" xfId="0" applyFont="1" applyFill="1" applyBorder="1" applyAlignment="1">
      <alignment horizontal="center" vertical="center"/>
    </xf>
    <xf numFmtId="0" fontId="15" fillId="52" borderId="21" xfId="0" applyFont="1" applyFill="1" applyBorder="1" applyAlignment="1">
      <alignment horizontal="center" vertical="center"/>
    </xf>
    <xf numFmtId="166" fontId="15" fillId="47" borderId="23" xfId="0" applyNumberFormat="1" applyFont="1" applyFill="1" applyBorder="1" applyAlignment="1">
      <alignment horizontal="center" vertical="center"/>
    </xf>
    <xf numFmtId="166" fontId="15" fillId="52" borderId="20" xfId="0" applyNumberFormat="1" applyFont="1" applyFill="1" applyBorder="1" applyAlignment="1">
      <alignment horizontal="center" vertical="center"/>
    </xf>
    <xf numFmtId="166" fontId="15" fillId="47" borderId="20" xfId="0" applyNumberFormat="1" applyFont="1" applyFill="1" applyBorder="1" applyAlignment="1">
      <alignment horizontal="center"/>
    </xf>
    <xf numFmtId="0" fontId="15" fillId="9" borderId="6" xfId="0" applyFont="1" applyFill="1" applyBorder="1" applyAlignment="1">
      <alignment horizontal="center"/>
    </xf>
    <xf numFmtId="166" fontId="15" fillId="0" borderId="6" xfId="0" applyNumberFormat="1" applyFont="1" applyBorder="1" applyAlignment="1">
      <alignment horizontal="center"/>
    </xf>
    <xf numFmtId="0" fontId="15" fillId="9" borderId="13" xfId="0" applyFont="1" applyFill="1" applyBorder="1" applyAlignment="1">
      <alignment horizontal="center"/>
    </xf>
    <xf numFmtId="0" fontId="15" fillId="9" borderId="21" xfId="0" applyFont="1" applyFill="1" applyBorder="1" applyAlignment="1">
      <alignment horizontal="center"/>
    </xf>
    <xf numFmtId="166" fontId="15" fillId="0" borderId="22" xfId="0" applyNumberFormat="1" applyFont="1" applyBorder="1" applyAlignment="1">
      <alignment horizontal="center"/>
    </xf>
    <xf numFmtId="0" fontId="15" fillId="10" borderId="22" xfId="0" applyFont="1" applyFill="1" applyBorder="1" applyAlignment="1">
      <alignment horizontal="center" vertical="center"/>
    </xf>
    <xf numFmtId="166" fontId="15" fillId="10" borderId="23" xfId="0" applyNumberFormat="1" applyFont="1" applyFill="1" applyBorder="1" applyAlignment="1">
      <alignment horizontal="center" vertical="center"/>
    </xf>
    <xf numFmtId="0" fontId="15" fillId="10" borderId="21" xfId="0" applyFont="1" applyFill="1" applyBorder="1" applyAlignment="1">
      <alignment horizontal="center"/>
    </xf>
    <xf numFmtId="166" fontId="15" fillId="10" borderId="20" xfId="0" applyNumberFormat="1" applyFont="1" applyFill="1" applyBorder="1" applyAlignment="1">
      <alignment horizontal="center"/>
    </xf>
    <xf numFmtId="0" fontId="36" fillId="53" borderId="3" xfId="0" applyFont="1" applyFill="1" applyBorder="1" applyAlignment="1">
      <alignment horizontal="right" vertical="center"/>
    </xf>
    <xf numFmtId="168" fontId="36" fillId="53" borderId="1" xfId="0" applyNumberFormat="1" applyFont="1" applyFill="1" applyBorder="1"/>
    <xf numFmtId="0" fontId="36" fillId="53" borderId="4" xfId="0" applyFont="1" applyFill="1" applyBorder="1" applyAlignment="1">
      <alignment horizontal="right" vertical="center"/>
    </xf>
    <xf numFmtId="0" fontId="36" fillId="53" borderId="13" xfId="0" applyFont="1" applyFill="1" applyBorder="1" applyAlignment="1">
      <alignment horizontal="right" vertical="center"/>
    </xf>
    <xf numFmtId="0" fontId="36" fillId="53" borderId="9" xfId="0" applyFont="1" applyFill="1" applyBorder="1" applyAlignment="1">
      <alignment horizontal="right" vertical="center"/>
    </xf>
    <xf numFmtId="0" fontId="63" fillId="53" borderId="13" xfId="0" applyFont="1" applyFill="1" applyBorder="1" applyAlignment="1">
      <alignment horizontal="right" vertical="center"/>
    </xf>
    <xf numFmtId="0" fontId="63" fillId="53" borderId="9" xfId="0" applyFont="1" applyFill="1" applyBorder="1" applyAlignment="1">
      <alignment horizontal="right" vertical="center"/>
    </xf>
    <xf numFmtId="168" fontId="63" fillId="53" borderId="2" xfId="0" applyNumberFormat="1" applyFont="1" applyFill="1" applyBorder="1"/>
    <xf numFmtId="164" fontId="36" fillId="53" borderId="1" xfId="0" applyNumberFormat="1" applyFont="1" applyFill="1" applyBorder="1"/>
    <xf numFmtId="164" fontId="66" fillId="53" borderId="1" xfId="0" applyNumberFormat="1" applyFont="1" applyFill="1" applyBorder="1"/>
    <xf numFmtId="173" fontId="15" fillId="0" borderId="1" xfId="0" applyNumberFormat="1" applyFont="1" applyBorder="1" applyAlignment="1">
      <alignment horizontal="center"/>
    </xf>
    <xf numFmtId="173" fontId="15" fillId="47" borderId="24" xfId="0" applyNumberFormat="1" applyFont="1" applyFill="1" applyBorder="1" applyAlignment="1">
      <alignment horizontal="center"/>
    </xf>
    <xf numFmtId="14" fontId="4" fillId="0" borderId="1" xfId="0" applyNumberFormat="1"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5" xfId="0" applyFont="1" applyBorder="1" applyAlignment="1">
      <alignment horizontal="center" vertical="center"/>
    </xf>
    <xf numFmtId="0" fontId="36" fillId="10" borderId="3" xfId="0" applyFont="1" applyFill="1" applyBorder="1" applyAlignment="1">
      <alignment horizontal="center"/>
    </xf>
    <xf numFmtId="0" fontId="36" fillId="10" borderId="4" xfId="0" applyFont="1" applyFill="1" applyBorder="1" applyAlignment="1">
      <alignment horizontal="center"/>
    </xf>
    <xf numFmtId="0" fontId="36" fillId="10" borderId="5" xfId="0" applyFont="1" applyFill="1" applyBorder="1" applyAlignment="1">
      <alignment horizontal="center"/>
    </xf>
    <xf numFmtId="0" fontId="36" fillId="9" borderId="3" xfId="0" applyFont="1" applyFill="1" applyBorder="1" applyAlignment="1">
      <alignment horizontal="center"/>
    </xf>
    <xf numFmtId="0" fontId="36" fillId="9" borderId="5" xfId="0" applyFont="1" applyFill="1" applyBorder="1" applyAlignment="1">
      <alignment horizontal="center"/>
    </xf>
    <xf numFmtId="0" fontId="16" fillId="0" borderId="1" xfId="0" applyFont="1" applyBorder="1" applyAlignment="1">
      <alignment horizontal="center"/>
    </xf>
    <xf numFmtId="0" fontId="5" fillId="6" borderId="1" xfId="0" applyFont="1" applyFill="1" applyBorder="1" applyAlignment="1">
      <alignment horizontal="center"/>
    </xf>
    <xf numFmtId="0" fontId="16" fillId="0" borderId="3" xfId="0" applyFont="1" applyBorder="1" applyAlignment="1">
      <alignment horizontal="center"/>
    </xf>
    <xf numFmtId="0" fontId="16" fillId="0" borderId="4" xfId="0" applyFont="1" applyBorder="1" applyAlignment="1">
      <alignment horizontal="center"/>
    </xf>
    <xf numFmtId="0" fontId="16" fillId="0" borderId="5" xfId="0" applyFont="1" applyBorder="1" applyAlignment="1">
      <alignment horizontal="center"/>
    </xf>
    <xf numFmtId="0" fontId="32" fillId="5" borderId="1" xfId="0" applyFont="1" applyFill="1" applyBorder="1" applyAlignment="1">
      <alignment horizontal="center"/>
    </xf>
    <xf numFmtId="0" fontId="5" fillId="27" borderId="1" xfId="0" applyFont="1" applyFill="1" applyBorder="1" applyAlignment="1">
      <alignment horizontal="center"/>
    </xf>
    <xf numFmtId="0" fontId="16" fillId="0" borderId="1" xfId="0" applyFont="1" applyBorder="1" applyAlignment="1">
      <alignment horizontal="center" vertical="center"/>
    </xf>
    <xf numFmtId="0" fontId="14" fillId="9" borderId="3" xfId="0" applyFont="1" applyFill="1" applyBorder="1" applyAlignment="1">
      <alignment horizontal="center"/>
    </xf>
    <xf numFmtId="0" fontId="14" fillId="9" borderId="5" xfId="0" applyFont="1" applyFill="1" applyBorder="1" applyAlignment="1">
      <alignment horizontal="center"/>
    </xf>
    <xf numFmtId="0" fontId="39" fillId="0" borderId="0" xfId="0" applyFont="1" applyAlignment="1">
      <alignment horizontal="center"/>
    </xf>
    <xf numFmtId="0" fontId="39" fillId="0" borderId="0" xfId="0" applyFont="1" applyAlignment="1">
      <alignment horizontal="center" vertical="center"/>
    </xf>
    <xf numFmtId="0" fontId="56" fillId="47" borderId="1" xfId="0" applyFont="1" applyFill="1" applyBorder="1" applyAlignment="1">
      <alignment horizontal="center" vertical="center"/>
    </xf>
    <xf numFmtId="0" fontId="36" fillId="10" borderId="1" xfId="0" applyFont="1" applyFill="1" applyBorder="1" applyAlignment="1">
      <alignment horizontal="right" vertical="center"/>
    </xf>
    <xf numFmtId="0" fontId="0" fillId="0" borderId="4" xfId="0" applyBorder="1"/>
    <xf numFmtId="0" fontId="0" fillId="0" borderId="5" xfId="0" applyBorder="1"/>
    <xf numFmtId="0" fontId="36" fillId="9" borderId="1" xfId="0" applyFont="1" applyFill="1" applyBorder="1" applyAlignment="1">
      <alignment horizontal="right" vertical="center"/>
    </xf>
    <xf numFmtId="0" fontId="36" fillId="10" borderId="5" xfId="0" applyFont="1" applyFill="1" applyBorder="1" applyAlignment="1">
      <alignment horizontal="right"/>
    </xf>
    <xf numFmtId="0" fontId="46" fillId="10" borderId="1" xfId="0" applyFont="1" applyFill="1" applyBorder="1" applyAlignment="1">
      <alignment horizontal="right" vertical="center"/>
    </xf>
    <xf numFmtId="0" fontId="36" fillId="53" borderId="1" xfId="0" applyFont="1" applyFill="1" applyBorder="1" applyAlignment="1">
      <alignment horizontal="right" vertical="center"/>
    </xf>
    <xf numFmtId="0" fontId="0" fillId="53" borderId="4" xfId="0" applyFill="1" applyBorder="1"/>
    <xf numFmtId="0" fontId="0" fillId="53" borderId="5" xfId="0" applyFill="1" applyBorder="1"/>
    <xf numFmtId="0" fontId="36" fillId="9" borderId="1" xfId="0" applyFont="1" applyFill="1" applyBorder="1" applyAlignment="1">
      <alignment horizontal="right"/>
    </xf>
    <xf numFmtId="0" fontId="63" fillId="37" borderId="16" xfId="0" applyFont="1" applyFill="1" applyBorder="1" applyAlignment="1">
      <alignment horizontal="right" vertical="center"/>
    </xf>
    <xf numFmtId="0" fontId="0" fillId="0" borderId="15" xfId="0" applyBorder="1"/>
    <xf numFmtId="0" fontId="36" fillId="9" borderId="6" xfId="0" applyFont="1" applyFill="1" applyBorder="1" applyAlignment="1">
      <alignment horizontal="center" vertical="center"/>
    </xf>
    <xf numFmtId="0" fontId="36" fillId="9" borderId="7" xfId="0" applyFont="1" applyFill="1" applyBorder="1" applyAlignment="1">
      <alignment horizontal="center" vertical="center"/>
    </xf>
    <xf numFmtId="0" fontId="36" fillId="9" borderId="2" xfId="0" applyFont="1" applyFill="1" applyBorder="1" applyAlignment="1">
      <alignment horizontal="center" vertical="center"/>
    </xf>
    <xf numFmtId="0" fontId="36" fillId="12" borderId="1" xfId="0" applyFont="1" applyFill="1" applyBorder="1" applyAlignment="1">
      <alignment horizontal="right" vertical="center"/>
    </xf>
    <xf numFmtId="0" fontId="0" fillId="0" borderId="7" xfId="0" applyBorder="1"/>
    <xf numFmtId="0" fontId="36" fillId="9" borderId="1" xfId="0" applyFont="1" applyFill="1" applyBorder="1" applyAlignment="1">
      <alignment horizontal="center" vertical="center"/>
    </xf>
    <xf numFmtId="0" fontId="46" fillId="10" borderId="5" xfId="0" applyFont="1" applyFill="1" applyBorder="1" applyAlignment="1">
      <alignment horizontal="right" vertical="center"/>
    </xf>
    <xf numFmtId="0" fontId="46" fillId="9" borderId="2" xfId="0" applyFont="1" applyFill="1" applyBorder="1" applyAlignment="1">
      <alignment horizontal="right" vertical="center"/>
    </xf>
    <xf numFmtId="0" fontId="0" fillId="0" borderId="9" xfId="0" applyBorder="1"/>
    <xf numFmtId="0" fontId="0" fillId="0" borderId="12" xfId="0" applyBorder="1"/>
    <xf numFmtId="0" fontId="46" fillId="9" borderId="1" xfId="0" applyFont="1" applyFill="1" applyBorder="1" applyAlignment="1">
      <alignment horizontal="right"/>
    </xf>
    <xf numFmtId="0" fontId="36" fillId="53" borderId="3" xfId="0" applyFont="1" applyFill="1" applyBorder="1" applyAlignment="1">
      <alignment horizontal="right" vertical="center"/>
    </xf>
    <xf numFmtId="0" fontId="63" fillId="18" borderId="16" xfId="0" applyFont="1" applyFill="1" applyBorder="1" applyAlignment="1">
      <alignment horizontal="right"/>
    </xf>
    <xf numFmtId="0" fontId="46" fillId="10" borderId="6" xfId="0" applyFont="1" applyFill="1" applyBorder="1" applyAlignment="1">
      <alignment horizontal="right" vertical="center"/>
    </xf>
    <xf numFmtId="0" fontId="0" fillId="0" borderId="8" xfId="0" applyBorder="1"/>
    <xf numFmtId="0" fontId="0" fillId="0" borderId="11" xfId="0" applyBorder="1"/>
    <xf numFmtId="0" fontId="63" fillId="18" borderId="1" xfId="0" applyFont="1" applyFill="1" applyBorder="1" applyAlignment="1">
      <alignment horizontal="center" vertical="center"/>
    </xf>
    <xf numFmtId="0" fontId="0" fillId="0" borderId="2" xfId="0" applyBorder="1"/>
    <xf numFmtId="0" fontId="36" fillId="9" borderId="2" xfId="0" applyFont="1" applyFill="1" applyBorder="1" applyAlignment="1">
      <alignment horizontal="right" vertical="center"/>
    </xf>
    <xf numFmtId="0" fontId="36" fillId="9" borderId="10" xfId="0" applyFont="1" applyFill="1" applyBorder="1" applyAlignment="1">
      <alignment horizontal="center" vertical="center"/>
    </xf>
    <xf numFmtId="0" fontId="0" fillId="0" borderId="14" xfId="0" applyBorder="1"/>
    <xf numFmtId="0" fontId="36" fillId="12" borderId="3" xfId="0" applyFont="1" applyFill="1" applyBorder="1" applyAlignment="1">
      <alignment horizontal="right" vertical="center"/>
    </xf>
    <xf numFmtId="0" fontId="63" fillId="18" borderId="6" xfId="0" applyFont="1" applyFill="1" applyBorder="1" applyAlignment="1">
      <alignment horizontal="center" vertical="center"/>
    </xf>
    <xf numFmtId="0" fontId="63" fillId="18" borderId="7" xfId="0" applyFont="1" applyFill="1" applyBorder="1" applyAlignment="1">
      <alignment horizontal="center" vertical="center"/>
    </xf>
    <xf numFmtId="0" fontId="63" fillId="18" borderId="2" xfId="0" applyFont="1" applyFill="1" applyBorder="1" applyAlignment="1">
      <alignment horizontal="center" vertical="center"/>
    </xf>
    <xf numFmtId="0" fontId="8" fillId="49" borderId="1" xfId="0" applyFont="1" applyFill="1" applyBorder="1" applyAlignment="1">
      <alignment horizontal="center"/>
    </xf>
    <xf numFmtId="0" fontId="13" fillId="9" borderId="13" xfId="0" applyFont="1" applyFill="1" applyBorder="1" applyAlignment="1">
      <alignment horizontal="center" vertical="center"/>
    </xf>
    <xf numFmtId="0" fontId="13" fillId="9" borderId="12" xfId="0" applyFont="1" applyFill="1" applyBorder="1" applyAlignment="1">
      <alignment horizontal="center" vertical="center"/>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23" fillId="0" borderId="6" xfId="0" applyFont="1" applyBorder="1" applyAlignment="1">
      <alignment horizontal="center" vertical="center"/>
    </xf>
    <xf numFmtId="0" fontId="23" fillId="0" borderId="7" xfId="0" applyFont="1" applyBorder="1" applyAlignment="1">
      <alignment horizontal="center" vertical="center"/>
    </xf>
    <xf numFmtId="0" fontId="23" fillId="0" borderId="2" xfId="0" applyFont="1" applyBorder="1" applyAlignment="1">
      <alignment horizontal="center" vertical="center"/>
    </xf>
    <xf numFmtId="164" fontId="4" fillId="0" borderId="6" xfId="0" applyNumberFormat="1" applyFont="1" applyBorder="1" applyAlignment="1">
      <alignment horizontal="right" vertical="center"/>
    </xf>
    <xf numFmtId="164" fontId="4" fillId="0" borderId="7" xfId="0" applyNumberFormat="1" applyFont="1" applyBorder="1" applyAlignment="1">
      <alignment horizontal="right" vertical="center"/>
    </xf>
    <xf numFmtId="164" fontId="4" fillId="0" borderId="2" xfId="0" applyNumberFormat="1" applyFont="1" applyBorder="1" applyAlignment="1">
      <alignment horizontal="right" vertical="center"/>
    </xf>
    <xf numFmtId="165" fontId="4" fillId="0" borderId="6" xfId="0" applyNumberFormat="1" applyFont="1" applyBorder="1" applyAlignment="1">
      <alignment horizontal="right" vertical="center"/>
    </xf>
    <xf numFmtId="165" fontId="4" fillId="0" borderId="2" xfId="0" applyNumberFormat="1" applyFont="1" applyBorder="1" applyAlignment="1">
      <alignment horizontal="right" vertical="center"/>
    </xf>
    <xf numFmtId="165" fontId="4" fillId="0" borderId="7" xfId="0" applyNumberFormat="1" applyFont="1" applyBorder="1" applyAlignment="1">
      <alignment horizontal="right" vertic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14" fontId="5" fillId="2" borderId="6" xfId="0" applyNumberFormat="1" applyFont="1" applyFill="1" applyBorder="1" applyAlignment="1">
      <alignment horizontal="center" vertical="center"/>
    </xf>
    <xf numFmtId="14" fontId="5" fillId="2" borderId="7" xfId="0" applyNumberFormat="1" applyFont="1" applyFill="1" applyBorder="1" applyAlignment="1">
      <alignment horizontal="center" vertical="center"/>
    </xf>
    <xf numFmtId="14" fontId="5" fillId="2" borderId="2" xfId="0" applyNumberFormat="1" applyFont="1" applyFill="1" applyBorder="1" applyAlignment="1">
      <alignment horizontal="center" vertical="center"/>
    </xf>
    <xf numFmtId="0" fontId="13" fillId="2" borderId="6" xfId="0" applyFont="1" applyFill="1" applyBorder="1" applyAlignment="1">
      <alignment horizontal="left" vertical="center"/>
    </xf>
    <xf numFmtId="0" fontId="13" fillId="2" borderId="2" xfId="0" applyFont="1" applyFill="1" applyBorder="1" applyAlignment="1">
      <alignment horizontal="left" vertical="center"/>
    </xf>
    <xf numFmtId="0" fontId="13" fillId="2" borderId="7" xfId="0" applyFont="1" applyFill="1" applyBorder="1" applyAlignment="1">
      <alignment horizontal="left" vertical="center"/>
    </xf>
    <xf numFmtId="164" fontId="4" fillId="0" borderId="6" xfId="1" applyNumberFormat="1" applyFont="1" applyBorder="1" applyAlignment="1">
      <alignment horizontal="right" vertical="center"/>
    </xf>
    <xf numFmtId="164" fontId="4" fillId="0" borderId="7" xfId="1" applyNumberFormat="1" applyFont="1" applyBorder="1" applyAlignment="1">
      <alignment horizontal="right" vertical="center"/>
    </xf>
    <xf numFmtId="164" fontId="4" fillId="0" borderId="2" xfId="1" applyNumberFormat="1" applyFont="1" applyBorder="1" applyAlignment="1">
      <alignment horizontal="right" vertical="center"/>
    </xf>
    <xf numFmtId="164" fontId="0" fillId="0" borderId="6" xfId="0" applyNumberFormat="1" applyBorder="1" applyAlignment="1">
      <alignment horizontal="right" vertical="center"/>
    </xf>
    <xf numFmtId="164" fontId="0" fillId="0" borderId="2" xfId="0" applyNumberFormat="1" applyBorder="1" applyAlignment="1">
      <alignment horizontal="right" vertical="center"/>
    </xf>
    <xf numFmtId="164" fontId="4" fillId="2" borderId="6" xfId="0" applyNumberFormat="1" applyFont="1" applyFill="1" applyBorder="1" applyAlignment="1">
      <alignment horizontal="right" vertical="center"/>
    </xf>
    <xf numFmtId="164" fontId="4" fillId="2" borderId="2" xfId="0" applyNumberFormat="1" applyFont="1" applyFill="1" applyBorder="1" applyAlignment="1">
      <alignment horizontal="right" vertical="center"/>
    </xf>
    <xf numFmtId="164" fontId="7" fillId="0" borderId="6" xfId="0" applyNumberFormat="1" applyFont="1" applyBorder="1" applyAlignment="1">
      <alignment horizontal="right" vertical="center"/>
    </xf>
    <xf numFmtId="164" fontId="7" fillId="0" borderId="2" xfId="0" applyNumberFormat="1" applyFont="1" applyBorder="1" applyAlignment="1">
      <alignment horizontal="right" vertical="center"/>
    </xf>
    <xf numFmtId="164" fontId="7" fillId="0" borderId="6" xfId="0" applyNumberFormat="1" applyFont="1" applyBorder="1" applyAlignment="1">
      <alignment horizontal="center"/>
    </xf>
    <xf numFmtId="164" fontId="7" fillId="0" borderId="7" xfId="0" applyNumberFormat="1" applyFont="1" applyBorder="1" applyAlignment="1">
      <alignment horizontal="center"/>
    </xf>
    <xf numFmtId="164" fontId="7" fillId="0" borderId="2" xfId="0" applyNumberFormat="1" applyFont="1" applyBorder="1" applyAlignment="1">
      <alignment horizontal="center"/>
    </xf>
    <xf numFmtId="164" fontId="4" fillId="0" borderId="6" xfId="0" applyNumberFormat="1" applyFont="1" applyBorder="1" applyAlignment="1">
      <alignment horizontal="center"/>
    </xf>
    <xf numFmtId="164" fontId="4" fillId="0" borderId="7" xfId="0" applyNumberFormat="1" applyFont="1" applyBorder="1" applyAlignment="1">
      <alignment horizontal="center"/>
    </xf>
    <xf numFmtId="164" fontId="4" fillId="0" borderId="2" xfId="0" applyNumberFormat="1" applyFont="1" applyBorder="1" applyAlignment="1">
      <alignment horizontal="center"/>
    </xf>
    <xf numFmtId="164" fontId="4" fillId="0" borderId="6" xfId="0" applyNumberFormat="1" applyFont="1" applyBorder="1" applyAlignment="1">
      <alignment horizontal="center" vertical="center"/>
    </xf>
    <xf numFmtId="164" fontId="4" fillId="0" borderId="7" xfId="0" applyNumberFormat="1" applyFont="1" applyBorder="1" applyAlignment="1">
      <alignment horizontal="center" vertical="center"/>
    </xf>
    <xf numFmtId="164" fontId="4" fillId="0" borderId="2" xfId="0" applyNumberFormat="1" applyFont="1" applyBorder="1" applyAlignment="1">
      <alignment horizontal="center" vertical="center"/>
    </xf>
    <xf numFmtId="2" fontId="0" fillId="0" borderId="6" xfId="0" applyNumberFormat="1" applyBorder="1" applyAlignment="1">
      <alignment horizontal="right" vertical="center"/>
    </xf>
    <xf numFmtId="2" fontId="0" fillId="0" borderId="2" xfId="0" applyNumberFormat="1" applyBorder="1" applyAlignment="1">
      <alignment horizontal="right" vertical="center"/>
    </xf>
    <xf numFmtId="2" fontId="0" fillId="0" borderId="7" xfId="0" applyNumberFormat="1" applyBorder="1" applyAlignment="1">
      <alignment horizontal="right" vertical="center"/>
    </xf>
    <xf numFmtId="0" fontId="13" fillId="15" borderId="3" xfId="0" applyFont="1" applyFill="1" applyBorder="1" applyAlignment="1">
      <alignment horizontal="center" vertical="center"/>
    </xf>
    <xf numFmtId="0" fontId="13" fillId="15" borderId="4" xfId="0" applyFont="1" applyFill="1" applyBorder="1" applyAlignment="1">
      <alignment horizontal="center" vertical="center"/>
    </xf>
    <xf numFmtId="0" fontId="13" fillId="15" borderId="5" xfId="0" applyFont="1" applyFill="1" applyBorder="1" applyAlignment="1">
      <alignment horizontal="center" vertical="center"/>
    </xf>
    <xf numFmtId="0" fontId="0" fillId="0" borderId="6" xfId="0" applyBorder="1" applyAlignment="1">
      <alignment horizontal="right" vertical="center"/>
    </xf>
    <xf numFmtId="0" fontId="0" fillId="0" borderId="7" xfId="0" applyBorder="1" applyAlignment="1">
      <alignment horizontal="right" vertical="center"/>
    </xf>
    <xf numFmtId="0" fontId="0" fillId="0" borderId="2" xfId="0" applyBorder="1" applyAlignment="1">
      <alignment horizontal="right" vertical="center"/>
    </xf>
    <xf numFmtId="0" fontId="2" fillId="2" borderId="3" xfId="0" applyFont="1" applyFill="1" applyBorder="1" applyAlignment="1">
      <alignment horizontal="center"/>
    </xf>
    <xf numFmtId="0" fontId="2" fillId="2" borderId="5" xfId="0" applyFont="1" applyFill="1" applyBorder="1" applyAlignment="1">
      <alignment horizontal="center"/>
    </xf>
    <xf numFmtId="0" fontId="5" fillId="17" borderId="3" xfId="0" applyFont="1" applyFill="1" applyBorder="1" applyAlignment="1">
      <alignment horizontal="center"/>
    </xf>
    <xf numFmtId="0" fontId="5" fillId="17" borderId="4" xfId="0" applyFont="1" applyFill="1" applyBorder="1" applyAlignment="1">
      <alignment horizontal="center"/>
    </xf>
    <xf numFmtId="0" fontId="5" fillId="17" borderId="5" xfId="0" applyFont="1" applyFill="1" applyBorder="1" applyAlignment="1">
      <alignment horizontal="center"/>
    </xf>
    <xf numFmtId="0" fontId="8" fillId="0" borderId="1" xfId="0" applyFont="1" applyBorder="1" applyAlignment="1">
      <alignment horizontal="center" vertical="center"/>
    </xf>
    <xf numFmtId="0" fontId="26" fillId="0" borderId="3" xfId="0" applyFont="1" applyBorder="1" applyAlignment="1">
      <alignment horizontal="center"/>
    </xf>
    <xf numFmtId="0" fontId="26" fillId="0" borderId="4" xfId="0" applyFont="1" applyBorder="1" applyAlignment="1">
      <alignment horizontal="center"/>
    </xf>
    <xf numFmtId="0" fontId="26" fillId="0" borderId="15" xfId="0" applyFont="1" applyBorder="1" applyAlignment="1">
      <alignment horizontal="center"/>
    </xf>
    <xf numFmtId="164" fontId="0" fillId="0" borderId="7" xfId="0" applyNumberFormat="1" applyBorder="1" applyAlignment="1">
      <alignment horizontal="right" vertical="center"/>
    </xf>
    <xf numFmtId="0" fontId="8" fillId="0" borderId="1" xfId="0" applyFont="1" applyBorder="1" applyAlignment="1">
      <alignment horizontal="center"/>
    </xf>
    <xf numFmtId="0" fontId="5" fillId="9" borderId="1" xfId="0" applyFont="1" applyFill="1" applyBorder="1" applyAlignment="1">
      <alignment horizontal="center"/>
    </xf>
    <xf numFmtId="0" fontId="13" fillId="14" borderId="3" xfId="0" applyFont="1" applyFill="1" applyBorder="1" applyAlignment="1">
      <alignment horizontal="center" vertical="center"/>
    </xf>
    <xf numFmtId="0" fontId="13" fillId="14" borderId="4" xfId="0" applyFont="1" applyFill="1" applyBorder="1" applyAlignment="1">
      <alignment horizontal="center" vertical="center"/>
    </xf>
    <xf numFmtId="0" fontId="13" fillId="14" borderId="5" xfId="0" applyFont="1" applyFill="1" applyBorder="1" applyAlignment="1">
      <alignment horizontal="center" vertical="center"/>
    </xf>
    <xf numFmtId="164" fontId="4" fillId="2" borderId="7" xfId="0" applyNumberFormat="1" applyFont="1" applyFill="1" applyBorder="1" applyAlignment="1">
      <alignment horizontal="right" vertical="center"/>
    </xf>
    <xf numFmtId="0" fontId="75" fillId="0" borderId="3" xfId="0" applyFont="1" applyBorder="1" applyAlignment="1">
      <alignment horizontal="center"/>
    </xf>
    <xf numFmtId="0" fontId="75" fillId="0" borderId="4" xfId="0" applyFont="1" applyBorder="1" applyAlignment="1">
      <alignment horizontal="center"/>
    </xf>
    <xf numFmtId="0" fontId="75" fillId="0" borderId="5" xfId="0" applyFont="1" applyBorder="1" applyAlignment="1">
      <alignment horizontal="center"/>
    </xf>
    <xf numFmtId="0" fontId="26" fillId="0" borderId="5" xfId="0" applyFont="1" applyBorder="1" applyAlignment="1">
      <alignment horizontal="center"/>
    </xf>
    <xf numFmtId="0" fontId="15" fillId="30" borderId="8" xfId="0" applyFont="1" applyFill="1" applyBorder="1" applyAlignment="1">
      <alignment horizontal="center"/>
    </xf>
    <xf numFmtId="0" fontId="5" fillId="35" borderId="3" xfId="0" applyFont="1" applyFill="1" applyBorder="1" applyAlignment="1">
      <alignment horizontal="center"/>
    </xf>
    <xf numFmtId="0" fontId="5" fillId="35" borderId="4" xfId="0" applyFont="1" applyFill="1" applyBorder="1" applyAlignment="1">
      <alignment horizontal="center"/>
    </xf>
    <xf numFmtId="0" fontId="5" fillId="35" borderId="5" xfId="0" applyFont="1" applyFill="1" applyBorder="1" applyAlignment="1">
      <alignment horizontal="center"/>
    </xf>
    <xf numFmtId="0" fontId="26" fillId="0" borderId="13" xfId="0" applyFont="1" applyBorder="1" applyAlignment="1">
      <alignment horizontal="center"/>
    </xf>
    <xf numFmtId="0" fontId="26" fillId="0" borderId="9" xfId="0" applyFont="1" applyBorder="1" applyAlignment="1">
      <alignment horizontal="center"/>
    </xf>
    <xf numFmtId="0" fontId="26" fillId="0" borderId="0" xfId="0" applyFont="1" applyAlignment="1">
      <alignment horizontal="center"/>
    </xf>
    <xf numFmtId="0" fontId="5" fillId="17" borderId="6" xfId="0" applyFont="1" applyFill="1" applyBorder="1" applyAlignment="1">
      <alignment horizontal="left" vertical="center"/>
    </xf>
    <xf numFmtId="0" fontId="5" fillId="17" borderId="7" xfId="0" applyFont="1" applyFill="1" applyBorder="1" applyAlignment="1">
      <alignment horizontal="left" vertical="center"/>
    </xf>
    <xf numFmtId="0" fontId="5" fillId="17" borderId="2" xfId="0" applyFont="1" applyFill="1" applyBorder="1" applyAlignment="1">
      <alignment horizontal="left" vertical="center"/>
    </xf>
    <xf numFmtId="14" fontId="5" fillId="17" borderId="6" xfId="0" applyNumberFormat="1" applyFont="1" applyFill="1" applyBorder="1" applyAlignment="1">
      <alignment horizontal="center" vertical="center"/>
    </xf>
    <xf numFmtId="14" fontId="5" fillId="17" borderId="7" xfId="0" applyNumberFormat="1" applyFont="1" applyFill="1" applyBorder="1" applyAlignment="1">
      <alignment horizontal="center" vertical="center"/>
    </xf>
    <xf numFmtId="14" fontId="5" fillId="17" borderId="2" xfId="0" applyNumberFormat="1" applyFont="1" applyFill="1" applyBorder="1" applyAlignment="1">
      <alignment horizontal="center" vertical="center"/>
    </xf>
    <xf numFmtId="9" fontId="4" fillId="0" borderId="6" xfId="0" applyNumberFormat="1" applyFont="1" applyBorder="1" applyAlignment="1">
      <alignment horizontal="center"/>
    </xf>
    <xf numFmtId="9" fontId="4" fillId="0" borderId="7" xfId="0" applyNumberFormat="1" applyFont="1" applyBorder="1" applyAlignment="1">
      <alignment horizontal="center"/>
    </xf>
    <xf numFmtId="9" fontId="4" fillId="0" borderId="2" xfId="0" applyNumberFormat="1" applyFont="1" applyBorder="1" applyAlignment="1">
      <alignment horizontal="center"/>
    </xf>
    <xf numFmtId="164" fontId="33" fillId="0" borderId="6" xfId="0" applyNumberFormat="1" applyFont="1" applyBorder="1" applyAlignment="1">
      <alignment horizontal="center" vertical="center"/>
    </xf>
    <xf numFmtId="164" fontId="33" fillId="0" borderId="7" xfId="0" applyNumberFormat="1" applyFont="1" applyBorder="1" applyAlignment="1">
      <alignment horizontal="center" vertical="center"/>
    </xf>
    <xf numFmtId="164" fontId="33" fillId="0" borderId="2" xfId="0" applyNumberFormat="1" applyFont="1" applyBorder="1" applyAlignment="1">
      <alignment horizontal="center" vertical="center"/>
    </xf>
    <xf numFmtId="0" fontId="5" fillId="33" borderId="3" xfId="0" applyFont="1" applyFill="1" applyBorder="1" applyAlignment="1">
      <alignment horizontal="center"/>
    </xf>
    <xf numFmtId="0" fontId="5" fillId="33" borderId="4" xfId="0" applyFont="1" applyFill="1" applyBorder="1" applyAlignment="1">
      <alignment horizontal="center"/>
    </xf>
    <xf numFmtId="0" fontId="5" fillId="33" borderId="5" xfId="0" applyFont="1" applyFill="1" applyBorder="1" applyAlignment="1">
      <alignment horizontal="center"/>
    </xf>
    <xf numFmtId="10" fontId="12" fillId="7" borderId="3" xfId="0" applyNumberFormat="1" applyFont="1" applyFill="1" applyBorder="1" applyAlignment="1">
      <alignment horizontal="center"/>
    </xf>
    <xf numFmtId="10" fontId="12" fillId="7" borderId="4" xfId="0" applyNumberFormat="1" applyFont="1" applyFill="1" applyBorder="1" applyAlignment="1">
      <alignment horizontal="center"/>
    </xf>
    <xf numFmtId="10" fontId="12" fillId="7" borderId="5" xfId="0" applyNumberFormat="1" applyFont="1" applyFill="1" applyBorder="1" applyAlignment="1">
      <alignment horizontal="center"/>
    </xf>
    <xf numFmtId="0" fontId="46" fillId="5" borderId="3" xfId="0" applyFont="1" applyFill="1" applyBorder="1" applyAlignment="1">
      <alignment horizontal="center"/>
    </xf>
    <xf numFmtId="0" fontId="46" fillId="5" borderId="4" xfId="0" applyFont="1" applyFill="1" applyBorder="1" applyAlignment="1">
      <alignment horizontal="center"/>
    </xf>
    <xf numFmtId="0" fontId="46" fillId="5" borderId="5" xfId="0" applyFont="1" applyFill="1" applyBorder="1" applyAlignment="1">
      <alignment horizontal="center"/>
    </xf>
    <xf numFmtId="0" fontId="36" fillId="44" borderId="1" xfId="0" applyFont="1" applyFill="1" applyBorder="1" applyAlignment="1">
      <alignment horizontal="center"/>
    </xf>
    <xf numFmtId="0" fontId="36" fillId="26" borderId="1" xfId="0" applyFont="1" applyFill="1" applyBorder="1" applyAlignment="1">
      <alignment horizontal="center"/>
    </xf>
    <xf numFmtId="9" fontId="12" fillId="4" borderId="3" xfId="2" applyFont="1" applyFill="1" applyBorder="1" applyAlignment="1">
      <alignment horizontal="center"/>
    </xf>
    <xf numFmtId="9" fontId="12" fillId="4" borderId="4" xfId="2" applyFont="1" applyFill="1" applyBorder="1" applyAlignment="1">
      <alignment horizontal="center"/>
    </xf>
    <xf numFmtId="9" fontId="12" fillId="4" borderId="5" xfId="2" applyFont="1" applyFill="1" applyBorder="1" applyAlignment="1">
      <alignment horizontal="center"/>
    </xf>
    <xf numFmtId="164" fontId="12" fillId="7" borderId="3" xfId="0" applyNumberFormat="1" applyFont="1" applyFill="1" applyBorder="1" applyAlignment="1">
      <alignment horizontal="center"/>
    </xf>
    <xf numFmtId="164" fontId="12" fillId="7" borderId="4" xfId="0" applyNumberFormat="1" applyFont="1" applyFill="1" applyBorder="1" applyAlignment="1">
      <alignment horizontal="center"/>
    </xf>
    <xf numFmtId="164" fontId="12" fillId="7" borderId="5" xfId="0" applyNumberFormat="1" applyFont="1" applyFill="1" applyBorder="1" applyAlignment="1">
      <alignment horizontal="center"/>
    </xf>
    <xf numFmtId="0" fontId="13" fillId="0" borderId="1" xfId="0" applyFont="1" applyBorder="1" applyAlignment="1">
      <alignment horizontal="center"/>
    </xf>
    <xf numFmtId="0" fontId="12" fillId="4" borderId="3" xfId="0" applyFont="1" applyFill="1" applyBorder="1" applyAlignment="1">
      <alignment horizontal="center"/>
    </xf>
    <xf numFmtId="0" fontId="12" fillId="4" borderId="4" xfId="0" applyFont="1" applyFill="1" applyBorder="1" applyAlignment="1">
      <alignment horizontal="center"/>
    </xf>
    <xf numFmtId="0" fontId="12" fillId="4" borderId="5" xfId="0" applyFont="1" applyFill="1" applyBorder="1" applyAlignment="1">
      <alignment horizontal="center"/>
    </xf>
    <xf numFmtId="0" fontId="12" fillId="10" borderId="1" xfId="0" applyFont="1" applyFill="1" applyBorder="1" applyAlignment="1">
      <alignment horizontal="center"/>
    </xf>
    <xf numFmtId="0" fontId="13" fillId="0" borderId="3"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center"/>
    </xf>
    <xf numFmtId="164" fontId="12" fillId="6" borderId="3" xfId="0" applyNumberFormat="1" applyFont="1" applyFill="1" applyBorder="1" applyAlignment="1">
      <alignment horizontal="center"/>
    </xf>
    <xf numFmtId="164" fontId="12" fillId="6" borderId="4" xfId="0" applyNumberFormat="1" applyFont="1" applyFill="1" applyBorder="1" applyAlignment="1">
      <alignment horizontal="center"/>
    </xf>
    <xf numFmtId="164" fontId="12" fillId="6" borderId="5" xfId="0" applyNumberFormat="1" applyFont="1" applyFill="1" applyBorder="1" applyAlignment="1">
      <alignment horizontal="center"/>
    </xf>
    <xf numFmtId="10" fontId="12" fillId="6" borderId="3" xfId="2" applyNumberFormat="1" applyFont="1" applyFill="1" applyBorder="1" applyAlignment="1">
      <alignment horizontal="center"/>
    </xf>
    <xf numFmtId="10" fontId="12" fillId="6" borderId="4" xfId="2" applyNumberFormat="1" applyFont="1" applyFill="1" applyBorder="1" applyAlignment="1">
      <alignment horizontal="center"/>
    </xf>
    <xf numFmtId="10" fontId="12" fillId="6" borderId="5" xfId="2" applyNumberFormat="1" applyFont="1" applyFill="1" applyBorder="1" applyAlignment="1">
      <alignment horizontal="center"/>
    </xf>
    <xf numFmtId="164" fontId="12" fillId="4" borderId="3" xfId="0" applyNumberFormat="1" applyFont="1" applyFill="1" applyBorder="1" applyAlignment="1">
      <alignment horizontal="center"/>
    </xf>
    <xf numFmtId="164" fontId="12" fillId="4" borderId="4" xfId="0" applyNumberFormat="1" applyFont="1" applyFill="1" applyBorder="1" applyAlignment="1">
      <alignment horizontal="center"/>
    </xf>
    <xf numFmtId="164" fontId="12" fillId="4" borderId="5" xfId="0" applyNumberFormat="1" applyFont="1" applyFill="1" applyBorder="1" applyAlignment="1">
      <alignment horizontal="center"/>
    </xf>
    <xf numFmtId="0" fontId="36" fillId="45" borderId="1" xfId="0" applyFont="1" applyFill="1" applyBorder="1" applyAlignment="1">
      <alignment horizontal="center"/>
    </xf>
    <xf numFmtId="164" fontId="12" fillId="12" borderId="3" xfId="1" applyNumberFormat="1" applyFont="1" applyFill="1" applyBorder="1" applyAlignment="1">
      <alignment horizontal="center"/>
    </xf>
    <xf numFmtId="164" fontId="12" fillId="12" borderId="4" xfId="1" applyNumberFormat="1" applyFont="1" applyFill="1" applyBorder="1" applyAlignment="1">
      <alignment horizontal="center"/>
    </xf>
    <xf numFmtId="164" fontId="12" fillId="12" borderId="5" xfId="1" applyNumberFormat="1" applyFont="1" applyFill="1" applyBorder="1" applyAlignment="1">
      <alignment horizontal="center"/>
    </xf>
    <xf numFmtId="164" fontId="12" fillId="9" borderId="3" xfId="0" applyNumberFormat="1" applyFont="1" applyFill="1" applyBorder="1" applyAlignment="1">
      <alignment horizontal="center"/>
    </xf>
    <xf numFmtId="164" fontId="12" fillId="9" borderId="5" xfId="0" applyNumberFormat="1" applyFont="1" applyFill="1" applyBorder="1" applyAlignment="1">
      <alignment horizontal="center"/>
    </xf>
    <xf numFmtId="164" fontId="12" fillId="0" borderId="3" xfId="1" applyNumberFormat="1" applyFont="1" applyFill="1" applyBorder="1" applyAlignment="1">
      <alignment horizontal="center"/>
    </xf>
    <xf numFmtId="164" fontId="12" fillId="0" borderId="4" xfId="1" applyNumberFormat="1" applyFont="1" applyFill="1" applyBorder="1" applyAlignment="1">
      <alignment horizontal="center"/>
    </xf>
    <xf numFmtId="164" fontId="12" fillId="0" borderId="5" xfId="1" applyNumberFormat="1" applyFont="1" applyFill="1" applyBorder="1" applyAlignment="1">
      <alignment horizontal="center"/>
    </xf>
    <xf numFmtId="10" fontId="12" fillId="0" borderId="3" xfId="2" applyNumberFormat="1" applyFont="1" applyFill="1" applyBorder="1" applyAlignment="1">
      <alignment horizontal="center"/>
    </xf>
    <xf numFmtId="10" fontId="12" fillId="0" borderId="4" xfId="2" applyNumberFormat="1" applyFont="1" applyFill="1" applyBorder="1" applyAlignment="1">
      <alignment horizontal="center"/>
    </xf>
    <xf numFmtId="10" fontId="12" fillId="0" borderId="5" xfId="2" applyNumberFormat="1" applyFont="1" applyFill="1" applyBorder="1" applyAlignment="1">
      <alignment horizontal="center"/>
    </xf>
    <xf numFmtId="0" fontId="12" fillId="41" borderId="3" xfId="0" applyFont="1" applyFill="1" applyBorder="1" applyAlignment="1">
      <alignment horizontal="center" vertical="center"/>
    </xf>
    <xf numFmtId="0" fontId="12" fillId="41" borderId="4" xfId="0" applyFont="1" applyFill="1" applyBorder="1" applyAlignment="1">
      <alignment horizontal="center" vertical="center"/>
    </xf>
    <xf numFmtId="0" fontId="12" fillId="41" borderId="5" xfId="0" applyFont="1" applyFill="1" applyBorder="1" applyAlignment="1">
      <alignment horizontal="center" vertical="center"/>
    </xf>
    <xf numFmtId="0" fontId="12" fillId="43" borderId="8" xfId="0" applyFont="1" applyFill="1" applyBorder="1" applyAlignment="1">
      <alignment horizontal="center" vertical="center"/>
    </xf>
    <xf numFmtId="0" fontId="12" fillId="43" borderId="11" xfId="0" applyFont="1" applyFill="1" applyBorder="1" applyAlignment="1">
      <alignment horizontal="center" vertical="center"/>
    </xf>
    <xf numFmtId="0" fontId="0" fillId="0" borderId="10" xfId="0" applyBorder="1" applyAlignment="1">
      <alignment horizontal="center"/>
    </xf>
    <xf numFmtId="0" fontId="0" fillId="0" borderId="8"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2" fillId="6" borderId="3"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14" fontId="12" fillId="42" borderId="3" xfId="0" applyNumberFormat="1" applyFont="1" applyFill="1" applyBorder="1" applyAlignment="1">
      <alignment horizontal="center"/>
    </xf>
    <xf numFmtId="14" fontId="12" fillId="42" borderId="4" xfId="0" applyNumberFormat="1" applyFont="1" applyFill="1" applyBorder="1" applyAlignment="1">
      <alignment horizontal="center"/>
    </xf>
    <xf numFmtId="14" fontId="12" fillId="42" borderId="5" xfId="0" applyNumberFormat="1" applyFont="1" applyFill="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21" fillId="42" borderId="3" xfId="0" applyFont="1" applyFill="1" applyBorder="1" applyAlignment="1">
      <alignment horizontal="center" vertical="center"/>
    </xf>
    <xf numFmtId="0" fontId="21" fillId="42" borderId="4" xfId="0" applyFont="1" applyFill="1" applyBorder="1" applyAlignment="1">
      <alignment horizontal="center" vertical="center"/>
    </xf>
    <xf numFmtId="0" fontId="21" fillId="42" borderId="5" xfId="0" applyFont="1" applyFill="1" applyBorder="1" applyAlignment="1">
      <alignment horizontal="center" vertical="center"/>
    </xf>
    <xf numFmtId="0" fontId="47" fillId="0" borderId="3" xfId="0" applyFont="1" applyBorder="1" applyAlignment="1">
      <alignment horizontal="center"/>
    </xf>
    <xf numFmtId="0" fontId="47" fillId="0" borderId="4" xfId="0" applyFont="1" applyBorder="1" applyAlignment="1">
      <alignment horizontal="center"/>
    </xf>
    <xf numFmtId="0" fontId="47" fillId="0" borderId="5" xfId="0" applyFont="1" applyBorder="1" applyAlignment="1">
      <alignment horizontal="center"/>
    </xf>
    <xf numFmtId="0" fontId="12" fillId="5" borderId="3"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5" xfId="0" applyFont="1" applyFill="1" applyBorder="1" applyAlignment="1">
      <alignment horizontal="center" vertical="center"/>
    </xf>
    <xf numFmtId="0" fontId="43" fillId="0" borderId="0" xfId="0" applyFont="1" applyAlignment="1">
      <alignment vertical="center"/>
    </xf>
    <xf numFmtId="0" fontId="0" fillId="0" borderId="0" xfId="0"/>
    <xf numFmtId="0" fontId="21" fillId="10" borderId="3" xfId="0" applyFont="1" applyFill="1" applyBorder="1" applyAlignment="1">
      <alignment horizontal="center" vertical="center"/>
    </xf>
    <xf numFmtId="0" fontId="21" fillId="10" borderId="4" xfId="0" applyFont="1" applyFill="1" applyBorder="1" applyAlignment="1">
      <alignment horizontal="center" vertical="center"/>
    </xf>
    <xf numFmtId="0" fontId="21" fillId="10" borderId="5" xfId="0" applyFont="1" applyFill="1" applyBorder="1" applyAlignment="1">
      <alignment horizontal="center" vertical="center"/>
    </xf>
    <xf numFmtId="0" fontId="12" fillId="39" borderId="3" xfId="0" applyFont="1" applyFill="1" applyBorder="1" applyAlignment="1">
      <alignment horizontal="center" vertical="center"/>
    </xf>
    <xf numFmtId="0" fontId="12" fillId="39" borderId="4" xfId="0" applyFont="1" applyFill="1" applyBorder="1" applyAlignment="1">
      <alignment horizontal="center" vertical="center"/>
    </xf>
    <xf numFmtId="0" fontId="12" fillId="39" borderId="5" xfId="0" applyFont="1" applyFill="1" applyBorder="1" applyAlignment="1">
      <alignment horizontal="center" vertical="center"/>
    </xf>
    <xf numFmtId="0" fontId="12" fillId="8" borderId="3" xfId="0" applyFont="1" applyFill="1" applyBorder="1" applyAlignment="1">
      <alignment horizontal="center" vertical="center"/>
    </xf>
    <xf numFmtId="0" fontId="12" fillId="8" borderId="4" xfId="0" applyFont="1" applyFill="1" applyBorder="1" applyAlignment="1">
      <alignment horizontal="center" vertical="center"/>
    </xf>
    <xf numFmtId="0" fontId="12" fillId="8" borderId="5" xfId="0" applyFont="1" applyFill="1" applyBorder="1" applyAlignment="1">
      <alignment horizontal="center" vertical="center"/>
    </xf>
  </cellXfs>
  <cellStyles count="4">
    <cellStyle name="Currency" xfId="1" builtinId="4"/>
    <cellStyle name="Currency 2" xfId="3" xr:uid="{0024490F-6D47-6242-A618-1196A14FDFB3}"/>
    <cellStyle name="Normal" xfId="0" builtinId="0"/>
    <cellStyle name="Per cent" xfId="2" builtinId="5"/>
  </cellStyles>
  <dxfs count="144">
    <dxf>
      <fill>
        <patternFill>
          <bgColor rgb="FFFFC7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C6E88"/>
        </patternFill>
      </fill>
    </dxf>
    <dxf>
      <fill>
        <patternFill>
          <bgColor rgb="FF92D050"/>
        </patternFill>
      </fill>
    </dxf>
    <dxf>
      <fill>
        <patternFill>
          <bgColor rgb="FFFC6E88"/>
        </patternFill>
      </fill>
    </dxf>
    <dxf>
      <fill>
        <patternFill>
          <bgColor rgb="FF92D050"/>
        </patternFill>
      </fill>
    </dxf>
    <dxf>
      <fill>
        <patternFill>
          <bgColor theme="9" tint="0.39994506668294322"/>
        </patternFill>
      </fill>
    </dxf>
    <dxf>
      <fill>
        <patternFill>
          <bgColor rgb="FFFC6E88"/>
        </patternFill>
      </fill>
    </dxf>
    <dxf>
      <fill>
        <patternFill>
          <bgColor rgb="FF92D050"/>
        </patternFill>
      </fill>
    </dxf>
    <dxf>
      <fill>
        <patternFill>
          <bgColor rgb="FFFFC000"/>
        </patternFill>
      </fill>
    </dxf>
    <dxf>
      <fill>
        <patternFill>
          <bgColor rgb="FFFC6E88"/>
        </patternFill>
      </fill>
    </dxf>
    <dxf>
      <font>
        <color theme="1"/>
      </font>
      <fill>
        <patternFill>
          <bgColor rgb="FF92D050"/>
        </patternFill>
      </fill>
    </dxf>
    <dxf>
      <font>
        <b val="0"/>
        <i val="0"/>
        <color auto="1"/>
      </font>
      <fill>
        <patternFill>
          <fgColor auto="1"/>
          <bgColor rgb="FFFFC000"/>
        </patternFill>
      </fill>
    </dxf>
    <dxf>
      <font>
        <color theme="1"/>
      </font>
      <fill>
        <patternFill>
          <bgColor rgb="FFFC6E88"/>
        </patternFill>
      </fill>
    </dxf>
    <dxf>
      <font>
        <b val="0"/>
        <i val="0"/>
        <color auto="1"/>
      </font>
      <fill>
        <patternFill>
          <fgColor auto="1"/>
          <bgColor rgb="FFFFC000"/>
        </patternFill>
      </fill>
    </dxf>
    <dxf>
      <font>
        <color theme="1"/>
      </font>
      <fill>
        <patternFill>
          <bgColor rgb="FF92D050"/>
        </patternFill>
      </fill>
    </dxf>
    <dxf>
      <font>
        <color theme="1"/>
      </font>
      <fill>
        <patternFill>
          <bgColor rgb="FFFC6E88"/>
        </patternFill>
      </fill>
    </dxf>
    <dxf>
      <font>
        <b val="0"/>
        <i val="0"/>
        <color auto="1"/>
      </font>
      <fill>
        <patternFill>
          <fgColor auto="1"/>
          <bgColor rgb="FFFFC000"/>
        </patternFill>
      </fill>
    </dxf>
    <dxf>
      <font>
        <color theme="1"/>
      </font>
      <fill>
        <patternFill>
          <bgColor rgb="FFFC6E88"/>
        </patternFill>
      </fill>
    </dxf>
    <dxf>
      <font>
        <color theme="1"/>
      </font>
      <fill>
        <patternFill>
          <bgColor rgb="FF92D050"/>
        </patternFill>
      </fill>
    </dxf>
    <dxf>
      <font>
        <color theme="1"/>
      </font>
      <fill>
        <patternFill>
          <bgColor rgb="FFFC6E88"/>
        </patternFill>
      </fill>
    </dxf>
    <dxf>
      <font>
        <b val="0"/>
        <i val="0"/>
        <color auto="1"/>
      </font>
      <fill>
        <patternFill>
          <fgColor auto="1"/>
          <bgColor rgb="FFFFC000"/>
        </patternFill>
      </fill>
    </dxf>
    <dxf>
      <font>
        <color theme="1"/>
      </font>
      <fill>
        <patternFill>
          <bgColor rgb="FF92D050"/>
        </patternFill>
      </fill>
    </dxf>
    <dxf>
      <font>
        <b val="0"/>
        <i val="0"/>
        <color auto="1"/>
      </font>
      <fill>
        <patternFill>
          <fgColor auto="1"/>
          <bgColor rgb="FFFFC000"/>
        </patternFill>
      </fill>
    </dxf>
    <dxf>
      <font>
        <color theme="1"/>
      </font>
      <fill>
        <patternFill>
          <bgColor rgb="FFFC6E88"/>
        </patternFill>
      </fill>
    </dxf>
    <dxf>
      <font>
        <color theme="1"/>
      </font>
      <fill>
        <patternFill>
          <bgColor rgb="FF92D050"/>
        </patternFill>
      </fill>
    </dxf>
    <dxf>
      <font>
        <color theme="1"/>
      </font>
      <fill>
        <patternFill>
          <bgColor rgb="FFFC6E88"/>
        </patternFill>
      </fill>
    </dxf>
    <dxf>
      <font>
        <color theme="1"/>
      </font>
      <fill>
        <patternFill>
          <bgColor rgb="FFFFC000"/>
        </patternFill>
      </fill>
    </dxf>
    <dxf>
      <font>
        <color theme="1"/>
      </font>
      <fill>
        <patternFill>
          <bgColor rgb="FF92D050"/>
        </patternFill>
      </fill>
    </dxf>
    <dxf>
      <font>
        <color theme="1"/>
      </font>
      <fill>
        <patternFill>
          <bgColor rgb="FF92D050"/>
        </patternFill>
      </fill>
    </dxf>
    <dxf>
      <font>
        <color theme="1"/>
      </font>
      <fill>
        <patternFill>
          <bgColor rgb="FFFFC000"/>
        </patternFill>
      </fill>
    </dxf>
    <dxf>
      <font>
        <color theme="1"/>
      </font>
      <fill>
        <patternFill>
          <bgColor rgb="FFFC6E88"/>
        </patternFill>
      </fill>
    </dxf>
    <dxf>
      <font>
        <color theme="1"/>
      </font>
      <fill>
        <patternFill>
          <bgColor rgb="FFFC6E88"/>
        </patternFill>
      </fill>
    </dxf>
    <dxf>
      <font>
        <color theme="1"/>
      </font>
      <fill>
        <patternFill>
          <bgColor rgb="FF92D050"/>
        </patternFill>
      </fill>
    </dxf>
    <dxf>
      <font>
        <color theme="1"/>
      </font>
      <fill>
        <patternFill>
          <bgColor rgb="FFFFC000"/>
        </patternFill>
      </fill>
    </dxf>
    <dxf>
      <font>
        <color theme="1"/>
      </font>
      <fill>
        <patternFill>
          <bgColor rgb="FF92D050"/>
        </patternFill>
      </fill>
    </dxf>
    <dxf>
      <font>
        <color theme="1"/>
      </font>
      <fill>
        <patternFill>
          <bgColor rgb="FFFFC000"/>
        </patternFill>
      </fill>
    </dxf>
    <dxf>
      <font>
        <color theme="1"/>
      </font>
      <fill>
        <patternFill>
          <bgColor rgb="FFFC6E88"/>
        </patternFill>
      </fill>
    </dxf>
    <dxf>
      <font>
        <color theme="1"/>
      </font>
      <fill>
        <patternFill>
          <bgColor rgb="FFFC6E88"/>
        </patternFill>
      </fill>
    </dxf>
    <dxf>
      <font>
        <color theme="1"/>
      </font>
      <fill>
        <patternFill>
          <bgColor rgb="FFFFC000"/>
        </patternFill>
      </fill>
    </dxf>
    <dxf>
      <font>
        <color theme="1"/>
      </font>
      <fill>
        <patternFill>
          <bgColor rgb="FF92D050"/>
        </patternFill>
      </fill>
    </dxf>
    <dxf>
      <font>
        <color theme="1"/>
      </font>
      <fill>
        <patternFill>
          <bgColor rgb="FF92D050"/>
        </patternFill>
      </fill>
    </dxf>
    <dxf>
      <font>
        <color theme="1"/>
      </font>
      <fill>
        <patternFill>
          <fgColor auto="1"/>
          <bgColor rgb="FFFC6E88"/>
        </patternFill>
      </fill>
    </dxf>
    <dxf>
      <font>
        <color theme="1"/>
      </font>
      <fill>
        <patternFill>
          <bgColor rgb="FFFFC000"/>
        </patternFill>
      </fill>
    </dxf>
    <dxf>
      <font>
        <color theme="1"/>
      </font>
      <fill>
        <patternFill>
          <fgColor auto="1"/>
          <bgColor rgb="FFFC6E88"/>
        </patternFill>
      </fill>
    </dxf>
    <dxf>
      <font>
        <color theme="1"/>
      </font>
      <fill>
        <patternFill>
          <bgColor rgb="FFFFC000"/>
        </patternFill>
      </fill>
    </dxf>
    <dxf>
      <font>
        <color theme="1"/>
      </font>
      <fill>
        <patternFill>
          <bgColor rgb="FF92D050"/>
        </patternFill>
      </fill>
    </dxf>
    <dxf>
      <font>
        <color theme="1"/>
      </font>
      <fill>
        <patternFill>
          <bgColor rgb="FF92D050"/>
        </patternFill>
      </fill>
    </dxf>
    <dxf>
      <font>
        <color theme="1"/>
      </font>
      <fill>
        <patternFill>
          <bgColor rgb="FFFFC000"/>
        </patternFill>
      </fill>
    </dxf>
    <dxf>
      <font>
        <color theme="1"/>
      </font>
      <fill>
        <patternFill>
          <fgColor auto="1"/>
          <bgColor rgb="FFFC6E88"/>
        </patternFill>
      </fill>
    </dxf>
    <dxf>
      <font>
        <color theme="1"/>
      </font>
      <fill>
        <patternFill>
          <fgColor auto="1"/>
          <bgColor rgb="FFFC6E88"/>
        </patternFill>
      </fill>
    </dxf>
    <dxf>
      <font>
        <color theme="1"/>
      </font>
      <fill>
        <patternFill>
          <bgColor rgb="FFFFC000"/>
        </patternFill>
      </fill>
    </dxf>
    <dxf>
      <font>
        <color theme="1"/>
      </font>
      <fill>
        <patternFill>
          <bgColor rgb="FF92D050"/>
        </patternFill>
      </fill>
    </dxf>
    <dxf>
      <font>
        <color theme="1"/>
      </font>
      <fill>
        <patternFill>
          <bgColor rgb="FF92D050"/>
        </patternFill>
      </fill>
    </dxf>
    <dxf>
      <font>
        <color theme="1"/>
      </font>
      <fill>
        <patternFill>
          <fgColor auto="1"/>
          <bgColor rgb="FFFC6E88"/>
        </patternFill>
      </fill>
    </dxf>
    <dxf>
      <font>
        <color theme="1"/>
      </font>
      <fill>
        <patternFill>
          <bgColor rgb="FFFFC000"/>
        </patternFill>
      </fill>
    </dxf>
    <dxf>
      <fill>
        <patternFill patternType="solid">
          <fgColor indexed="64"/>
          <bgColor rgb="FF92D050"/>
        </patternFill>
      </fill>
    </dxf>
    <dxf>
      <fill>
        <patternFill patternType="solid">
          <fgColor indexed="64"/>
          <bgColor rgb="FFFC6E88"/>
        </patternFill>
      </fill>
    </dxf>
    <dxf>
      <fill>
        <patternFill>
          <bgColor rgb="FF92D050"/>
        </patternFill>
      </fill>
    </dxf>
    <dxf>
      <fill>
        <patternFill>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theme="1"/>
      </font>
      <fill>
        <patternFill>
          <bgColor theme="5" tint="0.39994506668294322"/>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theme="1"/>
      </font>
      <fill>
        <patternFill>
          <bgColor theme="5" tint="0.39994506668294322"/>
        </patternFill>
      </fill>
    </dxf>
    <dxf>
      <font>
        <color theme="1"/>
      </font>
      <fill>
        <patternFill>
          <bgColor theme="5" tint="0.39994506668294322"/>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theme="1"/>
      </font>
      <fill>
        <patternFill>
          <bgColor theme="5" tint="0.39994506668294322"/>
        </patternFill>
      </fill>
    </dxf>
    <dxf>
      <font>
        <color theme="1"/>
      </font>
      <fill>
        <patternFill>
          <bgColor theme="5" tint="0.39994506668294322"/>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theme="1"/>
      </font>
      <fill>
        <patternFill>
          <bgColor theme="5" tint="0.39994506668294322"/>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theme="1"/>
      </font>
      <fill>
        <patternFill>
          <bgColor theme="5" tint="0.39994506668294322"/>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rgb="FF000000"/>
      </font>
      <fill>
        <patternFill patternType="solid">
          <fgColor indexed="64"/>
          <bgColor rgb="FF92D050"/>
        </patternFill>
      </fill>
    </dxf>
    <dxf>
      <font>
        <color rgb="FF000000"/>
      </font>
      <fill>
        <patternFill patternType="solid">
          <fgColor indexed="64"/>
          <bgColor rgb="FF92D050"/>
        </patternFill>
      </fill>
    </dxf>
    <dxf>
      <font>
        <color rgb="FF000000"/>
      </font>
      <fill>
        <patternFill patternType="solid">
          <fgColor indexed="64"/>
          <bgColor rgb="FFFC6E88"/>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ill>
        <patternFill>
          <bgColor rgb="FFFC6E88"/>
        </patternFill>
      </fill>
    </dxf>
    <dxf>
      <fill>
        <patternFill>
          <bgColor rgb="FFFFC000"/>
        </patternFill>
      </fill>
    </dxf>
    <dxf>
      <fill>
        <patternFill>
          <bgColor theme="9" tint="0.39994506668294322"/>
        </patternFill>
      </fill>
    </dxf>
    <dxf>
      <font>
        <color theme="1"/>
      </font>
      <fill>
        <patternFill>
          <bgColor theme="9" tint="0.39994506668294322"/>
        </patternFill>
      </fill>
    </dxf>
    <dxf>
      <font>
        <color theme="1"/>
      </font>
      <fill>
        <patternFill>
          <bgColor rgb="FFFFC000"/>
        </patternFill>
      </fill>
    </dxf>
    <dxf>
      <font>
        <color theme="1"/>
      </font>
      <fill>
        <patternFill>
          <bgColor rgb="FFFC6E88"/>
        </patternFill>
      </fill>
    </dxf>
  </dxfs>
  <tableStyles count="0" defaultTableStyle="TableStyleMedium2" defaultPivotStyle="PivotStyleLight16"/>
  <colors>
    <mruColors>
      <color rgb="FFFC6E88"/>
      <color rgb="FFD56700"/>
      <color rgb="FFFF25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r>
              <a:rPr lang="en-GB" sz="3600"/>
              <a:t>BANKS STATUT and INVESTMENT</a:t>
            </a:r>
          </a:p>
        </c:rich>
      </c:tx>
      <c:layout>
        <c:manualLayout>
          <c:xMode val="edge"/>
          <c:yMode val="edge"/>
          <c:x val="1.584881522871463E-4"/>
          <c:y val="7.1700990271665805E-4"/>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endParaRPr lang="en-GB"/>
        </a:p>
      </c:txPr>
    </c:title>
    <c:autoTitleDeleted val="0"/>
    <c:view3D>
      <c:rotX val="40"/>
      <c:rotY val="190"/>
      <c:depthPercent val="10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8978203629693"/>
          <c:y val="0.13749458484739532"/>
          <c:w val="0.69423712731862619"/>
          <c:h val="0.79326002787779304"/>
        </c:manualLayout>
      </c:layout>
      <c:pie3DChart>
        <c:varyColors val="1"/>
        <c:ser>
          <c:idx val="0"/>
          <c:order val="0"/>
          <c:explosion val="10"/>
          <c:dPt>
            <c:idx val="0"/>
            <c:bubble3D val="0"/>
            <c:spPr>
              <a:solidFill>
                <a:schemeClr val="accent5">
                  <a:lumMod val="20000"/>
                  <a:lumOff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97C-8040-932E-FCCEDB8450F4}"/>
              </c:ext>
            </c:extLst>
          </c:dPt>
          <c:dPt>
            <c:idx val="1"/>
            <c:bubble3D val="0"/>
            <c:spPr>
              <a:solidFill>
                <a:schemeClr val="accent5">
                  <a:lumMod val="40000"/>
                  <a:lumOff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97C-8040-932E-FCCEDB8450F4}"/>
              </c:ext>
            </c:extLst>
          </c:dPt>
          <c:dPt>
            <c:idx val="2"/>
            <c:bubble3D val="0"/>
            <c:spPr>
              <a:solidFill>
                <a:schemeClr val="accent2">
                  <a:lumMod val="20000"/>
                  <a:lumOff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97C-8040-932E-FCCEDB8450F4}"/>
              </c:ext>
            </c:extLst>
          </c:dPt>
          <c:dPt>
            <c:idx val="3"/>
            <c:bubble3D val="0"/>
            <c:spPr>
              <a:solidFill>
                <a:schemeClr val="accent2">
                  <a:lumMod val="40000"/>
                  <a:lumOff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97C-8040-932E-FCCEDB8450F4}"/>
              </c:ext>
            </c:extLst>
          </c:dPt>
          <c:dPt>
            <c:idx val="4"/>
            <c:bubble3D val="0"/>
            <c:spPr>
              <a:solidFill>
                <a:schemeClr val="accent2">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B97C-8040-932E-FCCEDB8450F4}"/>
              </c:ext>
            </c:extLst>
          </c:dPt>
          <c:dPt>
            <c:idx val="5"/>
            <c:bubble3D val="0"/>
            <c:spPr>
              <a:solidFill>
                <a:srgbClr val="C0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B97C-8040-932E-FCCEDB8450F4}"/>
              </c:ext>
            </c:extLst>
          </c:dPt>
          <c:dPt>
            <c:idx val="6"/>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B97C-8040-932E-FCCEDB8450F4}"/>
              </c:ext>
            </c:extLst>
          </c:dPt>
          <c:dPt>
            <c:idx val="7"/>
            <c:bubble3D val="0"/>
            <c:spPr>
              <a:solidFill>
                <a:schemeClr val="accent1">
                  <a:lumMod val="40000"/>
                  <a:lumOff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B97C-8040-932E-FCCEDB8450F4}"/>
              </c:ext>
            </c:extLst>
          </c:dPt>
          <c:dPt>
            <c:idx val="8"/>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0919-A64A-8373-BA9FA056D28E}"/>
              </c:ext>
            </c:extLst>
          </c:dPt>
          <c:dPt>
            <c:idx val="9"/>
            <c:bubble3D val="0"/>
            <c:spPr>
              <a:solidFill>
                <a:schemeClr val="accent6">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85F8-6C4B-8055-2706FFD3E833}"/>
              </c:ext>
            </c:extLst>
          </c:dPt>
          <c:dPt>
            <c:idx val="10"/>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869A-7E41-BDBD-7D93F75CC42C}"/>
              </c:ext>
            </c:extLst>
          </c:dPt>
          <c:dPt>
            <c:idx val="11"/>
            <c:bubble3D val="0"/>
            <c:spPr>
              <a:solidFill>
                <a:schemeClr val="accent6">
                  <a:lumMod val="20000"/>
                  <a:lumOff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869A-7E41-BDBD-7D93F75CC42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8181-2144-AA8E-4FC320FF3ECD}"/>
              </c:ext>
            </c:extLst>
          </c:dPt>
          <c:dLbls>
            <c:dLbl>
              <c:idx val="12"/>
              <c:dLblPos val="bestFit"/>
              <c:showLegendKey val="1"/>
              <c:showVal val="1"/>
              <c:showCatName val="1"/>
              <c:showSerName val="0"/>
              <c:showPercent val="1"/>
              <c:showBubbleSize val="0"/>
              <c:extLst>
                <c:ext xmlns:c15="http://schemas.microsoft.com/office/drawing/2012/chart" uri="{CE6537A1-D6FC-4f65-9D91-7224C49458BB}">
                  <c15:layout>
                    <c:manualLayout>
                      <c:w val="0.15273662424666706"/>
                      <c:h val="2.6178289893425615E-2"/>
                    </c:manualLayout>
                  </c15:layout>
                </c:ext>
                <c:ext xmlns:c16="http://schemas.microsoft.com/office/drawing/2014/chart" uri="{C3380CC4-5D6E-409C-BE32-E72D297353CC}">
                  <c16:uniqueId val="{00000018-8181-2144-AA8E-4FC320FF3ECD}"/>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(Headquarters!$B$78:$B$85,Headquarters!$B$87:$B$90,Headquarters!$B$92)</c:f>
              <c:strCache>
                <c:ptCount val="13"/>
                <c:pt idx="0">
                  <c:v>Choice</c:v>
                </c:pt>
                <c:pt idx="1">
                  <c:v>eSaver</c:v>
                </c:pt>
                <c:pt idx="2">
                  <c:v>Daily Spending Acc</c:v>
                </c:pt>
                <c:pt idx="3">
                  <c:v>Planned Expenses Acc</c:v>
                </c:pt>
                <c:pt idx="4">
                  <c:v>Investing Cash Acc</c:v>
                </c:pt>
                <c:pt idx="5">
                  <c:v>Emergency Fund Acc</c:v>
                </c:pt>
                <c:pt idx="6">
                  <c:v>LaBanquePoste CC</c:v>
                </c:pt>
                <c:pt idx="7">
                  <c:v>Livret Jeune</c:v>
                </c:pt>
                <c:pt idx="8">
                  <c:v>Bitcoin</c:v>
                </c:pt>
                <c:pt idx="9">
                  <c:v>ETF Betashares</c:v>
                </c:pt>
                <c:pt idx="10">
                  <c:v>CSL</c:v>
                </c:pt>
                <c:pt idx="11">
                  <c:v>ETF Stake</c:v>
                </c:pt>
                <c:pt idx="12">
                  <c:v>UniSuper</c:v>
                </c:pt>
              </c:strCache>
            </c:strRef>
          </c:cat>
          <c:val>
            <c:numRef>
              <c:f>(Headquarters!$C$78:$C$85,Headquarters!$C$87:$C$90,Headquarters!$C$92)</c:f>
              <c:numCache>
                <c:formatCode>"$"#,##0</c:formatCode>
                <c:ptCount val="13"/>
                <c:pt idx="0">
                  <c:v>17</c:v>
                </c:pt>
                <c:pt idx="1">
                  <c:v>0</c:v>
                </c:pt>
                <c:pt idx="2">
                  <c:v>0</c:v>
                </c:pt>
                <c:pt idx="3">
                  <c:v>4015</c:v>
                </c:pt>
                <c:pt idx="4">
                  <c:v>2</c:v>
                </c:pt>
                <c:pt idx="5">
                  <c:v>1500</c:v>
                </c:pt>
                <c:pt idx="6">
                  <c:v>116.20179999999999</c:v>
                </c:pt>
                <c:pt idx="7">
                  <c:v>19.502400000000002</c:v>
                </c:pt>
                <c:pt idx="8">
                  <c:v>330.21314416252</c:v>
                </c:pt>
                <c:pt idx="9">
                  <c:v>420.07129199999997</c:v>
                </c:pt>
                <c:pt idx="10">
                  <c:v>28</c:v>
                </c:pt>
                <c:pt idx="11">
                  <c:v>93.940869168000006</c:v>
                </c:pt>
                <c:pt idx="12">
                  <c:v>7362.52</c:v>
                </c:pt>
              </c:numCache>
            </c:numRef>
          </c:val>
          <c:extLst>
            <c:ext xmlns:c16="http://schemas.microsoft.com/office/drawing/2014/chart" uri="{C3380CC4-5D6E-409C-BE32-E72D297353CC}">
              <c16:uniqueId val="{00000010-B97C-8040-932E-FCCEDB8450F4}"/>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4885887806883298"/>
          <c:y val="0.32016858671685156"/>
          <c:w val="0.15114117085889692"/>
          <c:h val="0.6798314132831484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3.7952347100537185E-4"/>
          <c:y val="7.4534723253488338E-6"/>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Headquarters!$B$94</c:f>
              <c:strCache>
                <c:ptCount val="1"/>
                <c:pt idx="0">
                  <c:v>Total Net Worth</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295-1D42-890B-E4FCAF1BCEDC}"/>
              </c:ext>
            </c:extLst>
          </c:dPt>
          <c:dLbls>
            <c:dLbl>
              <c:idx val="0"/>
              <c:spPr>
                <a:solidFill>
                  <a:schemeClr val="tx2">
                    <a:lumMod val="75000"/>
                    <a:lumOff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95-1D42-890B-E4FCAF1BCED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Headquarters!$C$94</c:f>
              <c:numCache>
                <c:formatCode>"$"#,##0</c:formatCode>
                <c:ptCount val="1"/>
                <c:pt idx="0">
                  <c:v>13904.449505330522</c:v>
                </c:pt>
              </c:numCache>
            </c:numRef>
          </c:val>
          <c:extLst>
            <c:ext xmlns:c16="http://schemas.microsoft.com/office/drawing/2014/chart" uri="{C3380CC4-5D6E-409C-BE32-E72D297353CC}">
              <c16:uniqueId val="{00000002-3295-1D42-890B-E4FCAF1BCEDC}"/>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r>
              <a:rPr lang="en-GB" sz="3600"/>
              <a:t>EXPENSES AVERAGE</a:t>
            </a:r>
          </a:p>
        </c:rich>
      </c:tx>
      <c:layout>
        <c:manualLayout>
          <c:xMode val="edge"/>
          <c:yMode val="edge"/>
          <c:x val="1.3115909335803576E-4"/>
          <c:y val="6.4665304705451064E-4"/>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endParaRPr lang="en-GB"/>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8978203629693"/>
          <c:y val="0.13749458484739532"/>
          <c:w val="0.69423712731862619"/>
          <c:h val="0.79326002787779304"/>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9CB-014F-B7F3-7F1CDB642EC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9CB-014F-B7F3-7F1CDB642EC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9CB-014F-B7F3-7F1CDB642EC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9CB-014F-B7F3-7F1CDB642EC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('Money Flow'!$D$553,'Money Flow'!$G$553:$I$553)</c:f>
              <c:strCache>
                <c:ptCount val="4"/>
                <c:pt idx="0">
                  <c:v>Real Expenses</c:v>
                </c:pt>
                <c:pt idx="1">
                  <c:v>Joint Account</c:v>
                </c:pt>
                <c:pt idx="2">
                  <c:v>Investments</c:v>
                </c:pt>
                <c:pt idx="3">
                  <c:v>Saving Allocation</c:v>
                </c:pt>
              </c:strCache>
            </c:strRef>
          </c:cat>
          <c:val>
            <c:numRef>
              <c:f>('Money Flow'!$D$577,'Money Flow'!$G$577:$I$577)</c:f>
              <c:numCache>
                <c:formatCode>"$"#,##0.00</c:formatCode>
                <c:ptCount val="4"/>
                <c:pt idx="0">
                  <c:v>331.53687500000007</c:v>
                </c:pt>
                <c:pt idx="1">
                  <c:v>258.29624999999999</c:v>
                </c:pt>
                <c:pt idx="2">
                  <c:v>46.153846153846153</c:v>
                </c:pt>
                <c:pt idx="3">
                  <c:v>593.53666666666663</c:v>
                </c:pt>
              </c:numCache>
            </c:numRef>
          </c:val>
          <c:extLst>
            <c:ext xmlns:c16="http://schemas.microsoft.com/office/drawing/2014/chart" uri="{C3380CC4-5D6E-409C-BE32-E72D297353CC}">
              <c16:uniqueId val="{00000014-69CB-014F-B7F3-7F1CDB642ECB}"/>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3002660102832082"/>
          <c:y val="0.67506673384732718"/>
          <c:w val="0.14598279165423056"/>
          <c:h val="0.23743180035661618"/>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2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r>
              <a:rPr lang="en-GB" sz="3600"/>
              <a:t>INVESTING</a:t>
            </a:r>
            <a:r>
              <a:rPr lang="en-GB" sz="3600" baseline="0"/>
              <a:t> ALLOCATION</a:t>
            </a:r>
          </a:p>
        </c:rich>
      </c:tx>
      <c:layout>
        <c:manualLayout>
          <c:xMode val="edge"/>
          <c:yMode val="edge"/>
          <c:x val="1.3115909335803576E-4"/>
          <c:y val="6.4665304705451064E-4"/>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endParaRPr lang="en-GB"/>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8978203629693"/>
          <c:y val="0.13749458484739532"/>
          <c:w val="0.69423712731862619"/>
          <c:h val="0.79326002787779304"/>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2D-644B-974C-CE944DD5C1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2D-644B-974C-CE944DD5C1C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BCF-1540-B9A7-5FEA75C05B1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BCF-1540-B9A7-5FEA75C05B1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Headquarters!$B$87:$B$90</c:f>
              <c:strCache>
                <c:ptCount val="4"/>
                <c:pt idx="0">
                  <c:v>Bitcoin</c:v>
                </c:pt>
                <c:pt idx="1">
                  <c:v>ETF Betashares</c:v>
                </c:pt>
                <c:pt idx="2">
                  <c:v>CSL</c:v>
                </c:pt>
                <c:pt idx="3">
                  <c:v>ETF Stake</c:v>
                </c:pt>
              </c:strCache>
            </c:strRef>
          </c:cat>
          <c:val>
            <c:numRef>
              <c:f>Headquarters!$C$87:$C$90</c:f>
              <c:numCache>
                <c:formatCode>"$"#,##0</c:formatCode>
                <c:ptCount val="4"/>
                <c:pt idx="0">
                  <c:v>330.21314416252</c:v>
                </c:pt>
                <c:pt idx="1">
                  <c:v>420.07129199999997</c:v>
                </c:pt>
                <c:pt idx="2">
                  <c:v>28</c:v>
                </c:pt>
                <c:pt idx="3">
                  <c:v>93.940869168000006</c:v>
                </c:pt>
              </c:numCache>
            </c:numRef>
          </c:val>
          <c:extLst>
            <c:ext xmlns:c16="http://schemas.microsoft.com/office/drawing/2014/chart" uri="{C3380CC4-5D6E-409C-BE32-E72D297353CC}">
              <c16:uniqueId val="{0000000A-F42D-644B-974C-CE944DD5C1C6}"/>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829687498409482"/>
          <c:y val="0.8274560193426399"/>
          <c:w val="0.11641874620790205"/>
          <c:h val="0.17201683590703873"/>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2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r>
              <a:rPr lang="en-GB" sz="3600"/>
              <a:t>Wealth Repartition</a:t>
            </a:r>
            <a:endParaRPr lang="en-GB" sz="3600" baseline="0"/>
          </a:p>
        </c:rich>
      </c:tx>
      <c:layout>
        <c:manualLayout>
          <c:xMode val="edge"/>
          <c:yMode val="edge"/>
          <c:x val="1.3115909335803576E-4"/>
          <c:y val="6.4665304705451064E-4"/>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endParaRPr lang="en-GB"/>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8978203629693"/>
          <c:y val="0.13749458484739532"/>
          <c:w val="0.69423712731862619"/>
          <c:h val="0.79326002787779304"/>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38-BA4F-A087-06F8FED20F7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38-BA4F-A087-06F8FED20F7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ECD-D444-A42B-E08CADF9777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ECD-D444-A42B-E08CADF9777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0A4-CD4E-B3BB-B44E35FB109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Headquarters!$B$98:$B$102</c:f>
              <c:strCache>
                <c:ptCount val="5"/>
                <c:pt idx="0">
                  <c:v>Operational Cash Flow</c:v>
                </c:pt>
                <c:pt idx="1">
                  <c:v>Future Spending</c:v>
                </c:pt>
                <c:pt idx="2">
                  <c:v>Savings</c:v>
                </c:pt>
                <c:pt idx="3">
                  <c:v>Investment</c:v>
                </c:pt>
                <c:pt idx="4">
                  <c:v>Superannuation</c:v>
                </c:pt>
              </c:strCache>
            </c:strRef>
          </c:cat>
          <c:val>
            <c:numRef>
              <c:f>Headquarters!$C$98:$C$102</c:f>
              <c:numCache>
                <c:formatCode>"$"#,##0</c:formatCode>
                <c:ptCount val="5"/>
                <c:pt idx="0">
                  <c:v>133.20179999999999</c:v>
                </c:pt>
                <c:pt idx="1">
                  <c:v>4015</c:v>
                </c:pt>
                <c:pt idx="2">
                  <c:v>1519.5024000000001</c:v>
                </c:pt>
                <c:pt idx="3">
                  <c:v>872.22530533052009</c:v>
                </c:pt>
                <c:pt idx="4">
                  <c:v>7362.52</c:v>
                </c:pt>
              </c:numCache>
            </c:numRef>
          </c:val>
          <c:extLst>
            <c:ext xmlns:c16="http://schemas.microsoft.com/office/drawing/2014/chart" uri="{C3380CC4-5D6E-409C-BE32-E72D297353CC}">
              <c16:uniqueId val="{00000004-F438-BA4F-A087-06F8FED20F72}"/>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829687498409482"/>
          <c:y val="0.65618099097266847"/>
          <c:w val="0.11641874620790205"/>
          <c:h val="0.3432918319900588"/>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2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v>Hours Worked per Week</c:v>
          </c:tx>
          <c:spPr>
            <a:solidFill>
              <a:schemeClr val="accent3">
                <a:lumMod val="40000"/>
                <a:lumOff val="60000"/>
              </a:schemeClr>
            </a:solidFill>
            <a:ln>
              <a:noFill/>
            </a:ln>
            <a:effectLst/>
          </c:spPr>
          <c:invertIfNegative val="0"/>
          <c:cat>
            <c:strRef>
              <c:f>'Work Income Tracker'!$C$113:$C$152</c:f>
              <c:strCache>
                <c:ptCount val="40"/>
                <c:pt idx="0">
                  <c:v>23/9/2025</c:v>
                </c:pt>
                <c:pt idx="1">
                  <c:v>30/9/2025</c:v>
                </c:pt>
                <c:pt idx="2">
                  <c:v>7/10/2025</c:v>
                </c:pt>
                <c:pt idx="3">
                  <c:v>14/10/2025</c:v>
                </c:pt>
                <c:pt idx="4">
                  <c:v>21/10/2025</c:v>
                </c:pt>
                <c:pt idx="5">
                  <c:v>28/10/2025</c:v>
                </c:pt>
                <c:pt idx="6">
                  <c:v>4/11/2025</c:v>
                </c:pt>
                <c:pt idx="7">
                  <c:v>11/11/2025</c:v>
                </c:pt>
                <c:pt idx="8">
                  <c:v>18/11/2025</c:v>
                </c:pt>
                <c:pt idx="9">
                  <c:v>25/11/2025</c:v>
                </c:pt>
                <c:pt idx="10">
                  <c:v>2/12/2025</c:v>
                </c:pt>
                <c:pt idx="11">
                  <c:v>9/12/2025</c:v>
                </c:pt>
                <c:pt idx="12">
                  <c:v>16/12/2025</c:v>
                </c:pt>
                <c:pt idx="13">
                  <c:v>23/12/2025</c:v>
                </c:pt>
                <c:pt idx="14">
                  <c:v>30/12/2025</c:v>
                </c:pt>
                <c:pt idx="15">
                  <c:v>6/1/2026</c:v>
                </c:pt>
                <c:pt idx="16">
                  <c:v>13/1/2026</c:v>
                </c:pt>
                <c:pt idx="17">
                  <c:v>20/1/2026</c:v>
                </c:pt>
                <c:pt idx="18">
                  <c:v>27/1/2026</c:v>
                </c:pt>
                <c:pt idx="19">
                  <c:v>3/2/2026</c:v>
                </c:pt>
                <c:pt idx="20">
                  <c:v>10/2/2026</c:v>
                </c:pt>
                <c:pt idx="21">
                  <c:v>17/2/2026</c:v>
                </c:pt>
                <c:pt idx="22">
                  <c:v>24/2/2026</c:v>
                </c:pt>
                <c:pt idx="23">
                  <c:v>3/3/2026</c:v>
                </c:pt>
                <c:pt idx="24">
                  <c:v>10/3/2026</c:v>
                </c:pt>
                <c:pt idx="25">
                  <c:v>17/3/2026</c:v>
                </c:pt>
                <c:pt idx="26">
                  <c:v>24/3/2026</c:v>
                </c:pt>
                <c:pt idx="27">
                  <c:v>31/3/2026</c:v>
                </c:pt>
                <c:pt idx="28">
                  <c:v>7/4/2026</c:v>
                </c:pt>
                <c:pt idx="29">
                  <c:v>14/4/2026</c:v>
                </c:pt>
                <c:pt idx="30">
                  <c:v>21/4/2026</c:v>
                </c:pt>
                <c:pt idx="31">
                  <c:v>28/4/2026</c:v>
                </c:pt>
                <c:pt idx="32">
                  <c:v>5/5/2026</c:v>
                </c:pt>
                <c:pt idx="33">
                  <c:v>12/5/2026</c:v>
                </c:pt>
                <c:pt idx="34">
                  <c:v>19/5/2026</c:v>
                </c:pt>
                <c:pt idx="35">
                  <c:v>26/5/2026</c:v>
                </c:pt>
                <c:pt idx="36">
                  <c:v>2/6/2026</c:v>
                </c:pt>
                <c:pt idx="37">
                  <c:v>9/6/2026</c:v>
                </c:pt>
                <c:pt idx="38">
                  <c:v>16/6/2026</c:v>
                </c:pt>
                <c:pt idx="39">
                  <c:v>AVERAGE </c:v>
                </c:pt>
              </c:strCache>
            </c:strRef>
          </c:cat>
          <c:val>
            <c:numRef>
              <c:f>'Work Income Tracker'!$F$113:$F$152</c:f>
              <c:numCache>
                <c:formatCode>0.00</c:formatCode>
                <c:ptCount val="40"/>
                <c:pt idx="0">
                  <c:v>21</c:v>
                </c:pt>
                <c:pt idx="1">
                  <c:v>30.17</c:v>
                </c:pt>
                <c:pt idx="2">
                  <c:v>34.25</c:v>
                </c:pt>
                <c:pt idx="3">
                  <c:v>33.83</c:v>
                </c:pt>
                <c:pt idx="4">
                  <c:v>33.5</c:v>
                </c:pt>
                <c:pt idx="5">
                  <c:v>35</c:v>
                </c:pt>
                <c:pt idx="6">
                  <c:v>22.58</c:v>
                </c:pt>
                <c:pt idx="7">
                  <c:v>26.92</c:v>
                </c:pt>
                <c:pt idx="8">
                  <c:v>36.67</c:v>
                </c:pt>
                <c:pt idx="9">
                  <c:v>41.25</c:v>
                </c:pt>
                <c:pt idx="10">
                  <c:v>40.5</c:v>
                </c:pt>
                <c:pt idx="11">
                  <c:v>12.5</c:v>
                </c:pt>
                <c:pt idx="12">
                  <c:v>0</c:v>
                </c:pt>
                <c:pt idx="13">
                  <c:v>0</c:v>
                </c:pt>
                <c:pt idx="14">
                  <c:v>0</c:v>
                </c:pt>
                <c:pt idx="15">
                  <c:v>0</c:v>
                </c:pt>
                <c:pt idx="16">
                  <c:v>28.75</c:v>
                </c:pt>
                <c:pt idx="17">
                  <c:v>41.166699999999999</c:v>
                </c:pt>
                <c:pt idx="18">
                  <c:v>44.25</c:v>
                </c:pt>
                <c:pt idx="19">
                  <c:v>36.25</c:v>
                </c:pt>
                <c:pt idx="20">
                  <c:v>45.25</c:v>
                </c:pt>
                <c:pt idx="21">
                  <c:v>40.08</c:v>
                </c:pt>
                <c:pt idx="22">
                  <c:v>0</c:v>
                </c:pt>
                <c:pt idx="23" formatCode="General">
                  <c:v>25.58</c:v>
                </c:pt>
                <c:pt idx="24">
                  <c:v>34.5</c:v>
                </c:pt>
                <c:pt idx="25">
                  <c:v>34.08</c:v>
                </c:pt>
                <c:pt idx="26">
                  <c:v>42.5</c:v>
                </c:pt>
                <c:pt idx="27">
                  <c:v>38.33</c:v>
                </c:pt>
                <c:pt idx="28">
                  <c:v>40.42</c:v>
                </c:pt>
                <c:pt idx="29">
                  <c:v>33.75</c:v>
                </c:pt>
                <c:pt idx="30">
                  <c:v>42.33</c:v>
                </c:pt>
                <c:pt idx="31">
                  <c:v>42.25</c:v>
                </c:pt>
                <c:pt idx="32">
                  <c:v>41.166699999999999</c:v>
                </c:pt>
                <c:pt idx="33">
                  <c:v>39.083300000000001</c:v>
                </c:pt>
                <c:pt idx="34">
                  <c:v>40.333300000000001</c:v>
                </c:pt>
                <c:pt idx="39">
                  <c:v>37.117037037037043</c:v>
                </c:pt>
              </c:numCache>
            </c:numRef>
          </c:val>
          <c:extLst>
            <c:ext xmlns:c16="http://schemas.microsoft.com/office/drawing/2014/chart" uri="{C3380CC4-5D6E-409C-BE32-E72D297353CC}">
              <c16:uniqueId val="{00000000-37F0-FA44-8530-2A38BECE9D13}"/>
            </c:ext>
          </c:extLst>
        </c:ser>
        <c:dLbls>
          <c:showLegendKey val="0"/>
          <c:showVal val="0"/>
          <c:showCatName val="0"/>
          <c:showSerName val="0"/>
          <c:showPercent val="0"/>
          <c:showBubbleSize val="0"/>
        </c:dLbls>
        <c:gapWidth val="75"/>
        <c:overlap val="-25"/>
        <c:axId val="1721912495"/>
        <c:axId val="1722552351"/>
      </c:barChart>
      <c:catAx>
        <c:axId val="17219124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552351"/>
        <c:crosses val="autoZero"/>
        <c:auto val="1"/>
        <c:lblAlgn val="ctr"/>
        <c:lblOffset val="100"/>
        <c:noMultiLvlLbl val="0"/>
      </c:catAx>
      <c:valAx>
        <c:axId val="1722552351"/>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191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Net Weekly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v>Hours Worked per Week</c:v>
          </c:tx>
          <c:spPr>
            <a:solidFill>
              <a:schemeClr val="accent1">
                <a:lumMod val="40000"/>
                <a:lumOff val="60000"/>
              </a:schemeClr>
            </a:solidFill>
            <a:ln>
              <a:noFill/>
            </a:ln>
            <a:effectLst/>
          </c:spPr>
          <c:invertIfNegative val="0"/>
          <c:cat>
            <c:strRef>
              <c:f>'Work Income Tracker'!$C$113:$C$152</c:f>
              <c:strCache>
                <c:ptCount val="40"/>
                <c:pt idx="0">
                  <c:v>23/9/2025</c:v>
                </c:pt>
                <c:pt idx="1">
                  <c:v>30/9/2025</c:v>
                </c:pt>
                <c:pt idx="2">
                  <c:v>7/10/2025</c:v>
                </c:pt>
                <c:pt idx="3">
                  <c:v>14/10/2025</c:v>
                </c:pt>
                <c:pt idx="4">
                  <c:v>21/10/2025</c:v>
                </c:pt>
                <c:pt idx="5">
                  <c:v>28/10/2025</c:v>
                </c:pt>
                <c:pt idx="6">
                  <c:v>4/11/2025</c:v>
                </c:pt>
                <c:pt idx="7">
                  <c:v>11/11/2025</c:v>
                </c:pt>
                <c:pt idx="8">
                  <c:v>18/11/2025</c:v>
                </c:pt>
                <c:pt idx="9">
                  <c:v>25/11/2025</c:v>
                </c:pt>
                <c:pt idx="10">
                  <c:v>2/12/2025</c:v>
                </c:pt>
                <c:pt idx="11">
                  <c:v>9/12/2025</c:v>
                </c:pt>
                <c:pt idx="12">
                  <c:v>16/12/2025</c:v>
                </c:pt>
                <c:pt idx="13">
                  <c:v>23/12/2025</c:v>
                </c:pt>
                <c:pt idx="14">
                  <c:v>30/12/2025</c:v>
                </c:pt>
                <c:pt idx="15">
                  <c:v>6/1/2026</c:v>
                </c:pt>
                <c:pt idx="16">
                  <c:v>13/1/2026</c:v>
                </c:pt>
                <c:pt idx="17">
                  <c:v>20/1/2026</c:v>
                </c:pt>
                <c:pt idx="18">
                  <c:v>27/1/2026</c:v>
                </c:pt>
                <c:pt idx="19">
                  <c:v>3/2/2026</c:v>
                </c:pt>
                <c:pt idx="20">
                  <c:v>10/2/2026</c:v>
                </c:pt>
                <c:pt idx="21">
                  <c:v>17/2/2026</c:v>
                </c:pt>
                <c:pt idx="22">
                  <c:v>24/2/2026</c:v>
                </c:pt>
                <c:pt idx="23">
                  <c:v>3/3/2026</c:v>
                </c:pt>
                <c:pt idx="24">
                  <c:v>10/3/2026</c:v>
                </c:pt>
                <c:pt idx="25">
                  <c:v>17/3/2026</c:v>
                </c:pt>
                <c:pt idx="26">
                  <c:v>24/3/2026</c:v>
                </c:pt>
                <c:pt idx="27">
                  <c:v>31/3/2026</c:v>
                </c:pt>
                <c:pt idx="28">
                  <c:v>7/4/2026</c:v>
                </c:pt>
                <c:pt idx="29">
                  <c:v>14/4/2026</c:v>
                </c:pt>
                <c:pt idx="30">
                  <c:v>21/4/2026</c:v>
                </c:pt>
                <c:pt idx="31">
                  <c:v>28/4/2026</c:v>
                </c:pt>
                <c:pt idx="32">
                  <c:v>5/5/2026</c:v>
                </c:pt>
                <c:pt idx="33">
                  <c:v>12/5/2026</c:v>
                </c:pt>
                <c:pt idx="34">
                  <c:v>19/5/2026</c:v>
                </c:pt>
                <c:pt idx="35">
                  <c:v>26/5/2026</c:v>
                </c:pt>
                <c:pt idx="36">
                  <c:v>2/6/2026</c:v>
                </c:pt>
                <c:pt idx="37">
                  <c:v>9/6/2026</c:v>
                </c:pt>
                <c:pt idx="38">
                  <c:v>16/6/2026</c:v>
                </c:pt>
                <c:pt idx="39">
                  <c:v>AVERAGE </c:v>
                </c:pt>
              </c:strCache>
            </c:strRef>
          </c:cat>
          <c:val>
            <c:numRef>
              <c:f>'Work Income Tracker'!$I$113:$I$152</c:f>
              <c:numCache>
                <c:formatCode>"$"#,##0.00</c:formatCode>
                <c:ptCount val="40"/>
                <c:pt idx="0">
                  <c:v>557.20000000000005</c:v>
                </c:pt>
                <c:pt idx="1">
                  <c:v>800.2</c:v>
                </c:pt>
                <c:pt idx="2">
                  <c:v>908.6</c:v>
                </c:pt>
                <c:pt idx="3">
                  <c:v>897.6</c:v>
                </c:pt>
                <c:pt idx="4">
                  <c:v>888.2</c:v>
                </c:pt>
                <c:pt idx="5">
                  <c:v>928</c:v>
                </c:pt>
                <c:pt idx="6">
                  <c:v>598.29999999999995</c:v>
                </c:pt>
                <c:pt idx="7">
                  <c:v>713.8</c:v>
                </c:pt>
                <c:pt idx="8">
                  <c:v>972</c:v>
                </c:pt>
                <c:pt idx="9">
                  <c:v>1094</c:v>
                </c:pt>
                <c:pt idx="10">
                  <c:v>1073.5999999999999</c:v>
                </c:pt>
                <c:pt idx="11">
                  <c:v>331</c:v>
                </c:pt>
                <c:pt idx="12" formatCode="0.00">
                  <c:v>0</c:v>
                </c:pt>
                <c:pt idx="13" formatCode="0.00">
                  <c:v>0</c:v>
                </c:pt>
                <c:pt idx="14" formatCode="0.00">
                  <c:v>0</c:v>
                </c:pt>
                <c:pt idx="15" formatCode="0.00">
                  <c:v>0</c:v>
                </c:pt>
                <c:pt idx="16">
                  <c:v>855.25</c:v>
                </c:pt>
                <c:pt idx="17">
                  <c:v>1224.83</c:v>
                </c:pt>
                <c:pt idx="18">
                  <c:v>1316.75</c:v>
                </c:pt>
                <c:pt idx="19">
                  <c:v>1078.75</c:v>
                </c:pt>
                <c:pt idx="20">
                  <c:v>1345.75</c:v>
                </c:pt>
                <c:pt idx="21">
                  <c:v>1192.92</c:v>
                </c:pt>
                <c:pt idx="22" formatCode="General">
                  <c:v>0</c:v>
                </c:pt>
                <c:pt idx="23">
                  <c:v>761.42</c:v>
                </c:pt>
                <c:pt idx="24">
                  <c:v>1026.5</c:v>
                </c:pt>
                <c:pt idx="25">
                  <c:v>1013.92</c:v>
                </c:pt>
                <c:pt idx="26">
                  <c:v>1264.5</c:v>
                </c:pt>
                <c:pt idx="27">
                  <c:v>1140.48</c:v>
                </c:pt>
                <c:pt idx="28">
                  <c:v>1202.58</c:v>
                </c:pt>
                <c:pt idx="29">
                  <c:v>1004.25</c:v>
                </c:pt>
                <c:pt idx="30">
                  <c:v>1259.67</c:v>
                </c:pt>
                <c:pt idx="31">
                  <c:v>1256.75</c:v>
                </c:pt>
                <c:pt idx="32">
                  <c:v>1224.83</c:v>
                </c:pt>
                <c:pt idx="33">
                  <c:v>1162.92</c:v>
                </c:pt>
                <c:pt idx="39">
                  <c:v>1061.8488461538459</c:v>
                </c:pt>
              </c:numCache>
            </c:numRef>
          </c:val>
          <c:extLst>
            <c:ext xmlns:c16="http://schemas.microsoft.com/office/drawing/2014/chart" uri="{C3380CC4-5D6E-409C-BE32-E72D297353CC}">
              <c16:uniqueId val="{00000000-CF74-EF49-AF90-1CA8C7AFB05E}"/>
            </c:ext>
          </c:extLst>
        </c:ser>
        <c:dLbls>
          <c:showLegendKey val="0"/>
          <c:showVal val="0"/>
          <c:showCatName val="0"/>
          <c:showSerName val="0"/>
          <c:showPercent val="0"/>
          <c:showBubbleSize val="0"/>
        </c:dLbls>
        <c:gapWidth val="75"/>
        <c:overlap val="-4"/>
        <c:axId val="1721912495"/>
        <c:axId val="1722552351"/>
      </c:barChart>
      <c:catAx>
        <c:axId val="17219124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1722552351"/>
        <c:crosses val="autoZero"/>
        <c:auto val="0"/>
        <c:lblAlgn val="ctr"/>
        <c:lblOffset val="100"/>
        <c:noMultiLvlLbl val="0"/>
      </c:catAx>
      <c:valAx>
        <c:axId val="1722552351"/>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1912495"/>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Net Monthly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'Work Income Tracker'!$J$113:$J$114</c:f>
              <c:strCache>
                <c:ptCount val="2"/>
                <c:pt idx="0">
                  <c:v>$557.20</c:v>
                </c:pt>
                <c:pt idx="1">
                  <c:v>$800.20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'Work Income Tracker'!$C$113:$C$152</c:f>
              <c:strCache>
                <c:ptCount val="40"/>
                <c:pt idx="0">
                  <c:v>23/9/2025</c:v>
                </c:pt>
                <c:pt idx="1">
                  <c:v>30/9/2025</c:v>
                </c:pt>
                <c:pt idx="2">
                  <c:v>7/10/2025</c:v>
                </c:pt>
                <c:pt idx="3">
                  <c:v>14/10/2025</c:v>
                </c:pt>
                <c:pt idx="4">
                  <c:v>21/10/2025</c:v>
                </c:pt>
                <c:pt idx="5">
                  <c:v>28/10/2025</c:v>
                </c:pt>
                <c:pt idx="6">
                  <c:v>4/11/2025</c:v>
                </c:pt>
                <c:pt idx="7">
                  <c:v>11/11/2025</c:v>
                </c:pt>
                <c:pt idx="8">
                  <c:v>18/11/2025</c:v>
                </c:pt>
                <c:pt idx="9">
                  <c:v>25/11/2025</c:v>
                </c:pt>
                <c:pt idx="10">
                  <c:v>2/12/2025</c:v>
                </c:pt>
                <c:pt idx="11">
                  <c:v>9/12/2025</c:v>
                </c:pt>
                <c:pt idx="12">
                  <c:v>16/12/2025</c:v>
                </c:pt>
                <c:pt idx="13">
                  <c:v>23/12/2025</c:v>
                </c:pt>
                <c:pt idx="14">
                  <c:v>30/12/2025</c:v>
                </c:pt>
                <c:pt idx="15">
                  <c:v>6/1/2026</c:v>
                </c:pt>
                <c:pt idx="16">
                  <c:v>13/1/2026</c:v>
                </c:pt>
                <c:pt idx="17">
                  <c:v>20/1/2026</c:v>
                </c:pt>
                <c:pt idx="18">
                  <c:v>27/1/2026</c:v>
                </c:pt>
                <c:pt idx="19">
                  <c:v>3/2/2026</c:v>
                </c:pt>
                <c:pt idx="20">
                  <c:v>10/2/2026</c:v>
                </c:pt>
                <c:pt idx="21">
                  <c:v>17/2/2026</c:v>
                </c:pt>
                <c:pt idx="22">
                  <c:v>24/2/2026</c:v>
                </c:pt>
                <c:pt idx="23">
                  <c:v>3/3/2026</c:v>
                </c:pt>
                <c:pt idx="24">
                  <c:v>10/3/2026</c:v>
                </c:pt>
                <c:pt idx="25">
                  <c:v>17/3/2026</c:v>
                </c:pt>
                <c:pt idx="26">
                  <c:v>24/3/2026</c:v>
                </c:pt>
                <c:pt idx="27">
                  <c:v>31/3/2026</c:v>
                </c:pt>
                <c:pt idx="28">
                  <c:v>7/4/2026</c:v>
                </c:pt>
                <c:pt idx="29">
                  <c:v>14/4/2026</c:v>
                </c:pt>
                <c:pt idx="30">
                  <c:v>21/4/2026</c:v>
                </c:pt>
                <c:pt idx="31">
                  <c:v>28/4/2026</c:v>
                </c:pt>
                <c:pt idx="32">
                  <c:v>5/5/2026</c:v>
                </c:pt>
                <c:pt idx="33">
                  <c:v>12/5/2026</c:v>
                </c:pt>
                <c:pt idx="34">
                  <c:v>19/5/2026</c:v>
                </c:pt>
                <c:pt idx="35">
                  <c:v>26/5/2026</c:v>
                </c:pt>
                <c:pt idx="36">
                  <c:v>2/6/2026</c:v>
                </c:pt>
                <c:pt idx="37">
                  <c:v>9/6/2026</c:v>
                </c:pt>
                <c:pt idx="38">
                  <c:v>16/6/2026</c:v>
                </c:pt>
                <c:pt idx="39">
                  <c:v>AVERAGE </c:v>
                </c:pt>
              </c:strCache>
            </c:strRef>
          </c:cat>
          <c:val>
            <c:numRef>
              <c:f>'Work Income Tracker'!$J$113:$J$152</c:f>
              <c:numCache>
                <c:formatCode>"$"#,##0.00</c:formatCode>
                <c:ptCount val="40"/>
                <c:pt idx="2">
                  <c:v>2266</c:v>
                </c:pt>
                <c:pt idx="6">
                  <c:v>3312.1000000000004</c:v>
                </c:pt>
                <c:pt idx="10">
                  <c:v>3853.4</c:v>
                </c:pt>
                <c:pt idx="12">
                  <c:v>0</c:v>
                </c:pt>
                <c:pt idx="13">
                  <c:v>0</c:v>
                </c:pt>
                <c:pt idx="14">
                  <c:v>331</c:v>
                </c:pt>
                <c:pt idx="15">
                  <c:v>0</c:v>
                </c:pt>
                <c:pt idx="18">
                  <c:v>3396.83</c:v>
                </c:pt>
                <c:pt idx="22">
                  <c:v>3617.42</c:v>
                </c:pt>
                <c:pt idx="26">
                  <c:v>4066.34</c:v>
                </c:pt>
                <c:pt idx="30">
                  <c:v>4606.9799999999996</c:v>
                </c:pt>
                <c:pt idx="34">
                  <c:v>3644.5</c:v>
                </c:pt>
                <c:pt idx="39">
                  <c:v>3595.44625</c:v>
                </c:pt>
              </c:numCache>
            </c:numRef>
          </c:val>
          <c:extLst>
            <c:ext xmlns:c16="http://schemas.microsoft.com/office/drawing/2014/chart" uri="{C3380CC4-5D6E-409C-BE32-E72D297353CC}">
              <c16:uniqueId val="{00000000-6EBF-EF41-92B5-0B13D339D2B9}"/>
            </c:ext>
          </c:extLst>
        </c:ser>
        <c:dLbls>
          <c:showLegendKey val="0"/>
          <c:showVal val="0"/>
          <c:showCatName val="0"/>
          <c:showSerName val="0"/>
          <c:showPercent val="0"/>
          <c:showBubbleSize val="0"/>
        </c:dLbls>
        <c:gapWidth val="75"/>
        <c:overlap val="-25"/>
        <c:axId val="1721912495"/>
        <c:axId val="1722552351"/>
      </c:barChart>
      <c:catAx>
        <c:axId val="17219124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552351"/>
        <c:crosses val="autoZero"/>
        <c:auto val="1"/>
        <c:lblAlgn val="ctr"/>
        <c:lblOffset val="100"/>
        <c:noMultiLvlLbl val="0"/>
      </c:catAx>
      <c:valAx>
        <c:axId val="1722552351"/>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191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Hours Worked per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lumMod val="75000"/>
              </a:schemeClr>
            </a:solidFill>
            <a:ln>
              <a:noFill/>
            </a:ln>
            <a:effectLst/>
          </c:spPr>
          <c:invertIfNegative val="0"/>
          <c:cat>
            <c:strRef>
              <c:f>'Work Income Tracker'!$C$113:$C$152</c:f>
              <c:strCache>
                <c:ptCount val="40"/>
                <c:pt idx="0">
                  <c:v>23/9/2025</c:v>
                </c:pt>
                <c:pt idx="1">
                  <c:v>30/9/2025</c:v>
                </c:pt>
                <c:pt idx="2">
                  <c:v>7/10/2025</c:v>
                </c:pt>
                <c:pt idx="3">
                  <c:v>14/10/2025</c:v>
                </c:pt>
                <c:pt idx="4">
                  <c:v>21/10/2025</c:v>
                </c:pt>
                <c:pt idx="5">
                  <c:v>28/10/2025</c:v>
                </c:pt>
                <c:pt idx="6">
                  <c:v>4/11/2025</c:v>
                </c:pt>
                <c:pt idx="7">
                  <c:v>11/11/2025</c:v>
                </c:pt>
                <c:pt idx="8">
                  <c:v>18/11/2025</c:v>
                </c:pt>
                <c:pt idx="9">
                  <c:v>25/11/2025</c:v>
                </c:pt>
                <c:pt idx="10">
                  <c:v>2/12/2025</c:v>
                </c:pt>
                <c:pt idx="11">
                  <c:v>9/12/2025</c:v>
                </c:pt>
                <c:pt idx="12">
                  <c:v>16/12/2025</c:v>
                </c:pt>
                <c:pt idx="13">
                  <c:v>23/12/2025</c:v>
                </c:pt>
                <c:pt idx="14">
                  <c:v>30/12/2025</c:v>
                </c:pt>
                <c:pt idx="15">
                  <c:v>6/1/2026</c:v>
                </c:pt>
                <c:pt idx="16">
                  <c:v>13/1/2026</c:v>
                </c:pt>
                <c:pt idx="17">
                  <c:v>20/1/2026</c:v>
                </c:pt>
                <c:pt idx="18">
                  <c:v>27/1/2026</c:v>
                </c:pt>
                <c:pt idx="19">
                  <c:v>3/2/2026</c:v>
                </c:pt>
                <c:pt idx="20">
                  <c:v>10/2/2026</c:v>
                </c:pt>
                <c:pt idx="21">
                  <c:v>17/2/2026</c:v>
                </c:pt>
                <c:pt idx="22">
                  <c:v>24/2/2026</c:v>
                </c:pt>
                <c:pt idx="23">
                  <c:v>3/3/2026</c:v>
                </c:pt>
                <c:pt idx="24">
                  <c:v>10/3/2026</c:v>
                </c:pt>
                <c:pt idx="25">
                  <c:v>17/3/2026</c:v>
                </c:pt>
                <c:pt idx="26">
                  <c:v>24/3/2026</c:v>
                </c:pt>
                <c:pt idx="27">
                  <c:v>31/3/2026</c:v>
                </c:pt>
                <c:pt idx="28">
                  <c:v>7/4/2026</c:v>
                </c:pt>
                <c:pt idx="29">
                  <c:v>14/4/2026</c:v>
                </c:pt>
                <c:pt idx="30">
                  <c:v>21/4/2026</c:v>
                </c:pt>
                <c:pt idx="31">
                  <c:v>28/4/2026</c:v>
                </c:pt>
                <c:pt idx="32">
                  <c:v>5/5/2026</c:v>
                </c:pt>
                <c:pt idx="33">
                  <c:v>12/5/2026</c:v>
                </c:pt>
                <c:pt idx="34">
                  <c:v>19/5/2026</c:v>
                </c:pt>
                <c:pt idx="35">
                  <c:v>26/5/2026</c:v>
                </c:pt>
                <c:pt idx="36">
                  <c:v>2/6/2026</c:v>
                </c:pt>
                <c:pt idx="37">
                  <c:v>9/6/2026</c:v>
                </c:pt>
                <c:pt idx="38">
                  <c:v>16/6/2026</c:v>
                </c:pt>
                <c:pt idx="39">
                  <c:v>AVERAGE </c:v>
                </c:pt>
              </c:strCache>
            </c:strRef>
          </c:cat>
          <c:val>
            <c:numRef>
              <c:f>'Work Income Tracker'!$E$113:$E$152</c:f>
              <c:numCache>
                <c:formatCode>0.00</c:formatCode>
                <c:ptCount val="40"/>
                <c:pt idx="0">
                  <c:v>7</c:v>
                </c:pt>
                <c:pt idx="1">
                  <c:v>6.0340000000000007</c:v>
                </c:pt>
                <c:pt idx="2">
                  <c:v>6.85</c:v>
                </c:pt>
                <c:pt idx="3">
                  <c:v>6.766</c:v>
                </c:pt>
                <c:pt idx="4">
                  <c:v>6.7</c:v>
                </c:pt>
                <c:pt idx="5">
                  <c:v>7</c:v>
                </c:pt>
                <c:pt idx="6">
                  <c:v>7.5266666666666664</c:v>
                </c:pt>
                <c:pt idx="7">
                  <c:v>6.73</c:v>
                </c:pt>
                <c:pt idx="8">
                  <c:v>7.3340000000000005</c:v>
                </c:pt>
                <c:pt idx="9">
                  <c:v>8.25</c:v>
                </c:pt>
                <c:pt idx="10">
                  <c:v>8.1</c:v>
                </c:pt>
                <c:pt idx="11">
                  <c:v>6.25</c:v>
                </c:pt>
                <c:pt idx="12">
                  <c:v>0</c:v>
                </c:pt>
                <c:pt idx="13">
                  <c:v>0</c:v>
                </c:pt>
                <c:pt idx="14">
                  <c:v>0</c:v>
                </c:pt>
                <c:pt idx="15">
                  <c:v>0</c:v>
                </c:pt>
                <c:pt idx="16">
                  <c:v>7.1875</c:v>
                </c:pt>
                <c:pt idx="17">
                  <c:v>8.2333400000000001</c:v>
                </c:pt>
                <c:pt idx="18">
                  <c:v>8.85</c:v>
                </c:pt>
                <c:pt idx="19">
                  <c:v>9.0625</c:v>
                </c:pt>
                <c:pt idx="20">
                  <c:v>9.0500000000000007</c:v>
                </c:pt>
                <c:pt idx="21">
                  <c:v>8.016</c:v>
                </c:pt>
                <c:pt idx="22">
                  <c:v>0</c:v>
                </c:pt>
                <c:pt idx="23" formatCode="General">
                  <c:v>6.3949999999999996</c:v>
                </c:pt>
                <c:pt idx="24" formatCode="General">
                  <c:v>8.625</c:v>
                </c:pt>
                <c:pt idx="25" formatCode="General">
                  <c:v>8.52</c:v>
                </c:pt>
                <c:pt idx="26" formatCode="General">
                  <c:v>8.5</c:v>
                </c:pt>
                <c:pt idx="27">
                  <c:v>7.6659999999999995</c:v>
                </c:pt>
                <c:pt idx="28">
                  <c:v>8.0839999999999996</c:v>
                </c:pt>
                <c:pt idx="29">
                  <c:v>8.4375</c:v>
                </c:pt>
                <c:pt idx="30">
                  <c:v>8.4659999999999993</c:v>
                </c:pt>
                <c:pt idx="31">
                  <c:v>8.4499999999999993</c:v>
                </c:pt>
                <c:pt idx="32">
                  <c:v>8.2333400000000001</c:v>
                </c:pt>
                <c:pt idx="33">
                  <c:v>7.8166600000000006</c:v>
                </c:pt>
                <c:pt idx="34">
                  <c:v>8.0666600000000006</c:v>
                </c:pt>
                <c:pt idx="39">
                  <c:v>7.7400055555555562</c:v>
                </c:pt>
              </c:numCache>
            </c:numRef>
          </c:val>
          <c:extLst>
            <c:ext xmlns:c16="http://schemas.microsoft.com/office/drawing/2014/chart" uri="{C3380CC4-5D6E-409C-BE32-E72D297353CC}">
              <c16:uniqueId val="{00000000-DE10-7242-9DC1-ABC8B003EF84}"/>
            </c:ext>
          </c:extLst>
        </c:ser>
        <c:dLbls>
          <c:showLegendKey val="0"/>
          <c:showVal val="0"/>
          <c:showCatName val="0"/>
          <c:showSerName val="0"/>
          <c:showPercent val="0"/>
          <c:showBubbleSize val="0"/>
        </c:dLbls>
        <c:gapWidth val="75"/>
        <c:overlap val="-25"/>
        <c:axId val="1721912495"/>
        <c:axId val="1722552351"/>
      </c:barChart>
      <c:catAx>
        <c:axId val="17219124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552351"/>
        <c:crosses val="autoZero"/>
        <c:auto val="1"/>
        <c:lblAlgn val="ctr"/>
        <c:lblOffset val="100"/>
        <c:noMultiLvlLbl val="0"/>
      </c:catAx>
      <c:valAx>
        <c:axId val="1722552351"/>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191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1283</xdr:colOff>
      <xdr:row>1</xdr:row>
      <xdr:rowOff>802</xdr:rowOff>
    </xdr:from>
    <xdr:to>
      <xdr:col>26</xdr:col>
      <xdr:colOff>0</xdr:colOff>
      <xdr:row>78</xdr:row>
      <xdr:rowOff>0</xdr:rowOff>
    </xdr:to>
    <xdr:graphicFrame macro="">
      <xdr:nvGraphicFramePr>
        <xdr:cNvPr id="2" name="Chart 1">
          <a:extLst>
            <a:ext uri="{FF2B5EF4-FFF2-40B4-BE49-F238E27FC236}">
              <a16:creationId xmlns:a16="http://schemas.microsoft.com/office/drawing/2014/main" id="{E5A28920-BDA9-E445-BD5A-10B9B6DC2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146069</xdr:colOff>
      <xdr:row>85</xdr:row>
      <xdr:rowOff>2504</xdr:rowOff>
    </xdr:from>
    <xdr:to>
      <xdr:col>39</xdr:col>
      <xdr:colOff>134731</xdr:colOff>
      <xdr:row>161</xdr:row>
      <xdr:rowOff>108520</xdr:rowOff>
    </xdr:to>
    <xdr:graphicFrame macro="">
      <xdr:nvGraphicFramePr>
        <xdr:cNvPr id="3" name="Chart 2">
          <a:extLst>
            <a:ext uri="{FF2B5EF4-FFF2-40B4-BE49-F238E27FC236}">
              <a16:creationId xmlns:a16="http://schemas.microsoft.com/office/drawing/2014/main" id="{4038AD57-92F7-3363-D7F7-9B3478AFC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179161</xdr:colOff>
      <xdr:row>253</xdr:row>
      <xdr:rowOff>20051</xdr:rowOff>
    </xdr:from>
    <xdr:to>
      <xdr:col>39</xdr:col>
      <xdr:colOff>177877</xdr:colOff>
      <xdr:row>330</xdr:row>
      <xdr:rowOff>72889</xdr:rowOff>
    </xdr:to>
    <xdr:graphicFrame macro="">
      <xdr:nvGraphicFramePr>
        <xdr:cNvPr id="4" name="Chart 3">
          <a:extLst>
            <a:ext uri="{FF2B5EF4-FFF2-40B4-BE49-F238E27FC236}">
              <a16:creationId xmlns:a16="http://schemas.microsoft.com/office/drawing/2014/main" id="{41EC19DD-BF4D-F242-AD0F-99E4F674D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xdr:colOff>
      <xdr:row>166</xdr:row>
      <xdr:rowOff>81935</xdr:rowOff>
    </xdr:from>
    <xdr:to>
      <xdr:col>38</xdr:col>
      <xdr:colOff>818072</xdr:colOff>
      <xdr:row>243</xdr:row>
      <xdr:rowOff>81133</xdr:rowOff>
    </xdr:to>
    <xdr:graphicFrame macro="">
      <xdr:nvGraphicFramePr>
        <xdr:cNvPr id="5" name="Chart 4">
          <a:extLst>
            <a:ext uri="{FF2B5EF4-FFF2-40B4-BE49-F238E27FC236}">
              <a16:creationId xmlns:a16="http://schemas.microsoft.com/office/drawing/2014/main" id="{82F7B2C0-0547-D244-B694-D80FA29C4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7056</xdr:colOff>
      <xdr:row>1</xdr:row>
      <xdr:rowOff>35277</xdr:rowOff>
    </xdr:from>
    <xdr:to>
      <xdr:col>52</xdr:col>
      <xdr:colOff>12327</xdr:colOff>
      <xdr:row>78</xdr:row>
      <xdr:rowOff>26009</xdr:rowOff>
    </xdr:to>
    <xdr:graphicFrame macro="">
      <xdr:nvGraphicFramePr>
        <xdr:cNvPr id="6" name="Chart 5">
          <a:extLst>
            <a:ext uri="{FF2B5EF4-FFF2-40B4-BE49-F238E27FC236}">
              <a16:creationId xmlns:a16="http://schemas.microsoft.com/office/drawing/2014/main" id="{946F4230-B298-EA48-8FF6-1F0BC0575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12543</xdr:colOff>
      <xdr:row>109</xdr:row>
      <xdr:rowOff>20456</xdr:rowOff>
    </xdr:from>
    <xdr:to>
      <xdr:col>22</xdr:col>
      <xdr:colOff>97411</xdr:colOff>
      <xdr:row>123</xdr:row>
      <xdr:rowOff>123786</xdr:rowOff>
    </xdr:to>
    <xdr:graphicFrame macro="">
      <xdr:nvGraphicFramePr>
        <xdr:cNvPr id="2" name="Chart 1">
          <a:extLst>
            <a:ext uri="{FF2B5EF4-FFF2-40B4-BE49-F238E27FC236}">
              <a16:creationId xmlns:a16="http://schemas.microsoft.com/office/drawing/2014/main" id="{3F8AF09A-7B03-B0CC-EC34-30B5EB6FC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92</xdr:colOff>
      <xdr:row>108</xdr:row>
      <xdr:rowOff>190964</xdr:rowOff>
    </xdr:from>
    <xdr:to>
      <xdr:col>29</xdr:col>
      <xdr:colOff>343238</xdr:colOff>
      <xdr:row>123</xdr:row>
      <xdr:rowOff>91094</xdr:rowOff>
    </xdr:to>
    <xdr:graphicFrame macro="">
      <xdr:nvGraphicFramePr>
        <xdr:cNvPr id="3" name="Chart 2">
          <a:extLst>
            <a:ext uri="{FF2B5EF4-FFF2-40B4-BE49-F238E27FC236}">
              <a16:creationId xmlns:a16="http://schemas.microsoft.com/office/drawing/2014/main" id="{31B5E2D1-41EC-AB40-9DB3-1917B0F0B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822569</xdr:colOff>
      <xdr:row>125</xdr:row>
      <xdr:rowOff>18560</xdr:rowOff>
    </xdr:from>
    <xdr:to>
      <xdr:col>29</xdr:col>
      <xdr:colOff>340215</xdr:colOff>
      <xdr:row>140</xdr:row>
      <xdr:rowOff>20289</xdr:rowOff>
    </xdr:to>
    <xdr:graphicFrame macro="">
      <xdr:nvGraphicFramePr>
        <xdr:cNvPr id="4" name="Chart 3">
          <a:extLst>
            <a:ext uri="{FF2B5EF4-FFF2-40B4-BE49-F238E27FC236}">
              <a16:creationId xmlns:a16="http://schemas.microsoft.com/office/drawing/2014/main" id="{B7C3F0DC-9873-ED42-A105-E4F6C4AA5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8563</xdr:colOff>
      <xdr:row>125</xdr:row>
      <xdr:rowOff>3619</xdr:rowOff>
    </xdr:from>
    <xdr:to>
      <xdr:col>22</xdr:col>
      <xdr:colOff>97913</xdr:colOff>
      <xdr:row>140</xdr:row>
      <xdr:rowOff>5348</xdr:rowOff>
    </xdr:to>
    <xdr:graphicFrame macro="">
      <xdr:nvGraphicFramePr>
        <xdr:cNvPr id="5" name="Chart 4">
          <a:extLst>
            <a:ext uri="{FF2B5EF4-FFF2-40B4-BE49-F238E27FC236}">
              <a16:creationId xmlns:a16="http://schemas.microsoft.com/office/drawing/2014/main" id="{8D6F6115-ECDE-E04C-81F0-59290A750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7">
  <rv s="0">
    <v>0</v>
    <v>EUR/AUD</v>
    <v>2</v>
    <v>3</v>
    <v>Finance</v>
    <v>4</v>
    <v>en-GB</v>
    <v>av8sfr</v>
    <v>268435456</v>
    <v>1</v>
    <v>Powered by Refinitiv</v>
    <v>1.8161</v>
    <v>1.6105</v>
    <v>9.4000000000000004E-3</v>
    <v>5.8180000000000003E-3</v>
    <v>AUD</v>
    <v>EUR</v>
    <v>Currency Pair</v>
    <v>46157.875</v>
    <v>Euro/Australian Dollar FX Cross Rate</v>
    <v>1.6157999999999999</v>
    <v>1.6252</v>
    <v>EURAUD</v>
    <v>EUR/AUD</v>
  </rv>
  <rv s="1">
    <v>0</v>
  </rv>
  <rv s="2">
    <v>https://www.bing.com/financeapi/forcetrigger?t=aa5nnm&amp;q=XASX%3aCSL&amp;form=skydnc</v>
    <v>Learn more on Bing</v>
  </rv>
  <rv s="3">
    <v>5</v>
    <v>CSL LIMITED (XASX:CSL)</v>
    <v>6</v>
    <v>7</v>
    <v>Finance</v>
    <v>8</v>
    <v>en-GB</v>
    <v>aa5nnm</v>
    <v>268435456</v>
    <v>1</v>
    <v>Powered by Refinitiv</v>
    <v>275.79000000000002</v>
    <v>93.64</v>
    <v>0.5252</v>
    <v>0.7</v>
    <v>7.1970000000000003E-3</v>
    <v>AUD</v>
    <v>CSL Limited is an Australia-based biotechnology company. The Company’s areas of focus include rare and serious diseases, influenza vaccines and iron deficiency and nephrology. The Company’s segments include CSL Behring, CSL Seqirus and CSL Vifor. The CSL Behring segment manufactures, markets and distributes plasma products, gene therapies and recombinants. The CSL Seqirus segment manufactures, markets and distributes predominantly influenza related products and provides pandemic services to governments. The CSL Vifor segment manufactures, markets and distributes products in the therapeutic areas of iron deficiency and nephrology. Its CSL Plasma operates plasma collection networks, with approximately 325 plasma collection centers in the United States, Europe and China. The Company operates in Australia, the United States, Germany, the United Kingdom, Switzerland and China (including Hong Kong). Its products include Respreeza, Zemaira, HAEGARDA, KCENTRA, Hepatitis B, Evogam, and others.</v>
    <v>32065</v>
    <v>Australian Securities Exchange</v>
    <v>XASX</v>
    <v>XASX</v>
    <v>655 Elizabeth Street, MELBOURNE, VICTORIA, 3000 AU</v>
    <v>98.99</v>
    <v>Pharmaceuticals</v>
    <v>Stock</v>
    <v>46157.375011574077</v>
    <v>2</v>
    <v>96.13</v>
    <v>84086440000</v>
    <v>CSL LIMITED</v>
    <v>CSL LIMITED</v>
    <v>98.5</v>
    <v>24.13</v>
    <v>97.26</v>
    <v>97.96</v>
    <v>478912000</v>
    <v>CSL</v>
    <v>CSL LIMITED (XASX:CSL)</v>
    <v>1913821</v>
    <v>2537150</v>
    <v>1991</v>
  </rv>
  <rv s="1">
    <v>3</v>
  </rv>
  <rv s="2">
    <v>https://www.bing.com/financeapi/forcetrigger?t=a25hm7&amp;q=ARCX%3aVOO&amp;form=skydnc</v>
    <v>Learn more on Bing</v>
  </rv>
  <rv s="4">
    <v>9</v>
    <v>Vanguard 500 Idx;ETF (ARCX:VOO)</v>
    <v>10</v>
    <v>11</v>
    <v>Finance</v>
    <v>12</v>
    <v>en-GB</v>
    <v>a25hm7</v>
    <v>268435456</v>
    <v>1</v>
    <v>Powered by Refinitiv</v>
    <v>689.1</v>
    <v>529.11</v>
    <v>1.0001</v>
    <v>-8.2899999999999991</v>
    <v>-1.2054E-2</v>
    <v>-1.2150000000000001</v>
    <v>-1.7879999999999999E-3</v>
    <v>USD</v>
    <v>NYSE Arca</v>
    <v>ARCX</v>
    <v>2.9999999999999997E-4</v>
    <v>683.52</v>
    <v>ETF</v>
    <v>46158.000001689063</v>
    <v>5</v>
    <v>678.44100000000003</v>
    <v>927806314491</v>
    <v>Vanguard 500 Idx;ETF</v>
    <v>682.04</v>
    <v>687.73</v>
    <v>679.44</v>
    <v>678.22500000000002</v>
    <v>VOO</v>
    <v>Vanguard 500 Idx;ETF (ARCX:VOO)</v>
    <v>6448537</v>
    <v>5722659</v>
  </rv>
  <rv s="1">
    <v>6</v>
  </rv>
  <rv s="0">
    <v>0</v>
    <v>USD/AUD</v>
    <v>2</v>
    <v>3</v>
    <v>Finance</v>
    <v>4</v>
    <v>en-GB</v>
    <v>avykh7</v>
    <v>268435456</v>
    <v>1</v>
    <v>Powered by Refinitiv</v>
    <v>1.5730999999999999</v>
    <v>1.3735999999999999</v>
    <v>1.32E-2</v>
    <v>9.5320000000000005E-3</v>
    <v>AUD</v>
    <v>USD</v>
    <v>Currency Pair</v>
    <v>46157.875</v>
    <v>US Dollar/Australian Dollar FX Cross Rate</v>
    <v>1.3848</v>
    <v>1.3979999999999999</v>
    <v>USDAUD</v>
    <v>USD/AUD</v>
  </rv>
  <rv s="1">
    <v>8</v>
  </rv>
  <rv s="5">
    <v>13</v>
    <v>Betashares Global Shares ETF (XASX:BGBL)</v>
    <v>2</v>
    <v>14</v>
    <v>Finance</v>
    <v>8</v>
    <v>en-GB</v>
    <v>c9pjvh</v>
    <v>268435456</v>
    <v>1</v>
    <v>Powered by Refinitiv</v>
    <v>83.21</v>
    <v>72.16</v>
    <v>0.63</v>
    <v>7.7840000000000001E-3</v>
    <v>AUD</v>
    <v>Australian Securities Exchange</v>
    <v>XASX</v>
    <v>8.0000000000000004E-4</v>
    <v>81.849999999999994</v>
    <v>ETF</v>
    <v>46157.375</v>
    <v>81.55</v>
    <v>3894586713</v>
    <v>Betashares Global Shares ETF</v>
    <v>81.55</v>
    <v>80.94</v>
    <v>81.569999999999993</v>
    <v>BGBL</v>
    <v>Betashares Global Shares ETF (XASX:BGBL)</v>
    <v>638371</v>
  </rv>
  <rv s="1">
    <v>10</v>
  </rv>
  <rv s="2">
    <v>https://www.bing.com/financeapi/forcetrigger?t=aaa7im&amp;q=XASX%3aVGE&amp;form=skydnc</v>
    <v>Learn more on Bing</v>
  </rv>
  <rv s="6">
    <v>15</v>
    <v>Vanguard FTSE EM Sh ETF AUD (XASX:VGE)</v>
    <v>10</v>
    <v>16</v>
    <v>Finance</v>
    <v>8</v>
    <v>en-GB</v>
    <v>aaa7im</v>
    <v>268435456</v>
    <v>1</v>
    <v>Powered by Refinitiv</v>
    <v>94.67</v>
    <v>79.62</v>
    <v>0.57099999999999995</v>
    <v>-0.5</v>
    <v>-5.5210000000000007E-3</v>
    <v>AUD</v>
    <v>Australian Securities Exchange</v>
    <v>XASX</v>
    <v>4.7999999999999996E-3</v>
    <v>92.29</v>
    <v>ETF</v>
    <v>46157.375</v>
    <v>12</v>
    <v>90.07</v>
    <v>1838220000</v>
    <v>Vanguard FTSE EM Sh ETF AUD</v>
    <v>91.3</v>
    <v>90.57</v>
    <v>90.07</v>
    <v>VGE</v>
    <v>Vanguard FTSE EM Sh ETF AUD (XASX:VGE)</v>
    <v>24232</v>
  </rv>
  <rv s="1">
    <v>13</v>
  </rv>
  <rv s="7">
    <v>17</v>
    <v>BTC/AUD</v>
    <v>2</v>
    <v>18</v>
    <v>Finance</v>
    <v>4</v>
    <v>en-GB</v>
    <v>bo8l9c</v>
    <v>268435456</v>
    <v>1</v>
    <v>Powered by Refinitiv</v>
    <v>190797.8241</v>
    <v>86861.324399999998</v>
    <v>-3561.3708000000001</v>
    <v>-3.1593000000000003E-2</v>
    <v>AUD</v>
    <v>BTC</v>
    <v>109456.1722</v>
    <v>Currency Pair</v>
    <v>46157.377557870372</v>
    <v>108698.9368</v>
    <v>Bitcoin/Australian Dollar FX Cross Rate</v>
    <v>109361.1072</v>
    <v>112728.15399999999</v>
    <v>109166.78320000001</v>
    <v>BTCAUD</v>
    <v>BTC/AUD</v>
  </rv>
  <rv s="1">
    <v>15</v>
  </rv>
</rvData>
</file>

<file path=xl/richData/rdrichvaluestructure.xml><?xml version="1.0" encoding="utf-8"?>
<rvStructures xmlns="http://schemas.microsoft.com/office/spreadsheetml/2017/richdata" count="8">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Instrument type" t="s"/>
    <k n="Last trade time"/>
    <k n="Name" t="s"/>
    <k n="Previous close"/>
    <k n="Price"/>
    <k n="Ticker symbol" t="s"/>
    <k n="UniqueName" t="s"/>
  </s>
  <s t="_linkedentity">
    <k n="%cvi" t="r"/>
  </s>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6">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19">
    <spb s="0">
      <v>0</v>
      <v>Name</v>
    </spb>
    <spb s="1">
      <v>0</v>
      <v>0</v>
      <v>0</v>
    </spb>
    <spb s="2">
      <v>1</v>
      <v>1</v>
    </spb>
    <spb s="3">
      <v>1</v>
      <v>2</v>
      <v>2</v>
      <v>3</v>
      <v>2</v>
      <v>2</v>
      <v>2</v>
      <v>4</v>
      <v>5</v>
    </spb>
    <spb s="4">
      <v>GMT</v>
    </spb>
    <spb s="5">
      <v>1</v>
      <v>Name</v>
      <v>LearnMoreOnLink</v>
    </spb>
    <spb s="6">
      <v>1</v>
      <v>1</v>
      <v>1</v>
      <v>1</v>
    </spb>
    <spb s="7">
      <v>2</v>
      <v>6</v>
      <v>6</v>
      <v>2</v>
      <v>1</v>
      <v>2</v>
      <v>2</v>
      <v>2</v>
      <v>7</v>
      <v>7</v>
      <v>3</v>
      <v>8</v>
      <v>2</v>
      <v>2</v>
      <v>2</v>
      <v>7</v>
      <v>4</v>
      <v>9</v>
      <v>5</v>
      <v>7</v>
    </spb>
    <spb s="8">
      <v>Delayed 20 minutes</v>
      <v>from previous close</v>
      <v>from previous close</v>
      <v>GMT</v>
    </spb>
    <spb s="5">
      <v>2</v>
      <v>Name</v>
      <v>LearnMoreOnLink</v>
    </spb>
    <spb s="9">
      <v>1</v>
      <v>1</v>
      <v>1</v>
    </spb>
    <spb s="10">
      <v>10</v>
      <v>6</v>
      <v>10</v>
      <v>1</v>
      <v>10</v>
      <v>10</v>
      <v>10</v>
      <v>7</v>
      <v>3</v>
      <v>11</v>
      <v>10</v>
      <v>10</v>
      <v>3</v>
      <v>10</v>
      <v>7</v>
      <v>4</v>
      <v>5</v>
      <v>10</v>
      <v>10</v>
      <v>3</v>
    </spb>
    <spb s="11">
      <v>at close</v>
      <v>from previous close</v>
      <v>Source: Nasdaq</v>
      <v>from previous close</v>
      <v>GMT</v>
      <v>Delayed 15 minutes</v>
      <v>from close</v>
      <v>from close</v>
    </spb>
    <spb s="0">
      <v>3</v>
      <v>Name</v>
    </spb>
    <spb s="12">
      <v>2</v>
      <v>2</v>
      <v>1</v>
      <v>2</v>
      <v>2</v>
      <v>2</v>
      <v>7</v>
      <v>3</v>
      <v>8</v>
      <v>2</v>
      <v>2</v>
      <v>3</v>
      <v>2</v>
      <v>4</v>
      <v>5</v>
    </spb>
    <spb s="5">
      <v>4</v>
      <v>Name</v>
      <v>LearnMoreOnLink</v>
    </spb>
    <spb s="13">
      <v>2</v>
      <v>6</v>
      <v>2</v>
      <v>1</v>
      <v>2</v>
      <v>2</v>
      <v>2</v>
      <v>7</v>
      <v>3</v>
      <v>8</v>
      <v>2</v>
      <v>2</v>
      <v>3</v>
      <v>2</v>
      <v>4</v>
      <v>5</v>
    </spb>
    <spb s="0">
      <v>5</v>
      <v>Name</v>
    </spb>
    <spb s="14">
      <v>2</v>
      <v>2</v>
      <v>1</v>
      <v>2</v>
      <v>2</v>
      <v>2</v>
      <v>3</v>
      <v>2</v>
      <v>2</v>
      <v>2</v>
      <v>4</v>
      <v>5</v>
    </spb>
  </spbData>
</supportingPropertyBags>
</file>

<file path=xl/richData/rdsupportingpropertybagstructure.xml><?xml version="1.0" encoding="utf-8"?>
<spbStructures xmlns="http://schemas.microsoft.com/office/spreadsheetml/2017/richdata2" count="15">
  <s>
    <k n="^Order" t="spba"/>
    <k n="TitleProperty" t="s"/>
  </s>
  <s>
    <k n="ShowInCardView" t="b"/>
    <k n="ShowInDotNotation" t="b"/>
    <k n="ShowInAutoComplete" t="b"/>
  </s>
  <s>
    <k n="UniqueName" t="spb"/>
    <k n="`%ProviderInfo" t="spb"/>
  </s>
  <s>
    <k n="Name" t="i"/>
    <k n="Price" t="i"/>
    <k n="Change" t="i"/>
    <k n="Change (%)" t="i"/>
    <k n="52 week low" t="i"/>
    <k n="52 week high" t="i"/>
    <k n="Previous close" t="i"/>
    <k n="Last trade time" t="i"/>
    <k n="`%EntityServiceId" t="i"/>
  </s>
  <s>
    <k n="Last trade time" t="s"/>
  </s>
  <s>
    <k n="^Order" t="spba"/>
    <k n="TitleProperty" t="s"/>
    <k n="SubTitleProperty"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Low" t="i"/>
    <k n="High" t="i"/>
    <k n="Name" t="i"/>
    <k n="Open" t="i"/>
    <k n="Price" t="i"/>
    <k n="Change" t="i"/>
    <k n="Volume" t="i"/>
    <k n="Change (%)" t="i"/>
    <k n="Market cap" t="i"/>
    <k n="52 week low" t="i"/>
    <k n="52 week high" t="i"/>
    <k n="Expense ratio" t="i"/>
    <k n="Previous close" t="i"/>
    <k n="Last trade time" t="i"/>
    <k n="`%EntityServiceId" t="i"/>
  </s>
  <s>
    <k n="Low" t="i"/>
    <k n="Beta"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Change (%)"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yyyy\ h:mm"/>
    </x:dxf>
    <x:dxf>
      <x:numFmt numFmtId="14" formatCode="0.00%"/>
    </x:dxf>
    <x:dxf>
      <x:numFmt numFmtId="3" formatCode="#,##0"/>
    </x:dxf>
    <x:dxf>
      <x:numFmt numFmtId="4" formatCode="#,##0.00"/>
    </x:dxf>
    <x:dxf>
      <x:numFmt numFmtId="1" formatCode="0"/>
    </x:dxf>
  </dxfs>
  <richProperties>
    <rPr n="IsTitleField" t="b"/>
    <rPr n="NumberFormat" t="s"/>
  </richProperties>
  <richStyles>
    <rSty>
      <rpv i="0">1</rpv>
    </rSty>
    <rSty dxfid="1">
      <rpv i="1">_([$$-en-AU]* #,##0.00_);_([$$-en-AU]* (#,##0.00);_([$$-en-AU]* "-"??_);_(@_)</rpv>
    </rSty>
    <rSty dxfid="3"/>
    <rSty dxfid="2"/>
    <rSty dxfid="0">
      <rpv i="1">0.00</rpv>
    </rSty>
    <rSty dxfid="5">
      <rpv i="1">#,##0.00</rpv>
    </rSty>
    <rSty dxfid="4">
      <rpv i="1">#,##0</rpv>
    </rSty>
    <rSty dxfid="1">
      <rpv i="1">_([$$-en-AU]* #,##0_);_([$$-en-AU]* (#,##0);_([$$-en-AU]* "-"_);_(@_)</rpv>
    </rSty>
    <rSty dxfid="6">
      <rpv i="1">0</rpv>
    </rSty>
    <rSty dxfid="1">
      <rpv i="1">_([$$-en-US]* #,##0.00_);_([$$-en-US]* (#,##0.00);_([$$-en-US]* "-"??_);_(@_)</rpv>
    </rSty>
    <rSty dxfid="1">
      <rpv i="1">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84265BC-C1A5-D54F-8BD1-1001B229BA8E}">
  <we:reference id="wa200009404" version="1.0.0.8" store="en-US" storeType="OMEX"/>
  <we:alternateReferences>
    <we:reference id="WA200009404" version="1.0.0.8" store="" storeType="OMEX"/>
  </we:alternateReferences>
  <we:properties>
    <we:property name="claude.fileId" value="&quot;f825e86a-53e8-4496-bb8c-e78272214de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62785-3867-B542-9425-14F0963D57EA}">
  <dimension ref="A82:AZ250"/>
  <sheetViews>
    <sheetView topLeftCell="A7" zoomScale="42" zoomScaleNormal="67" workbookViewId="0">
      <selection activeCell="AA10" sqref="AA10"/>
    </sheetView>
  </sheetViews>
  <sheetFormatPr baseColWidth="10" defaultColWidth="10.83203125" defaultRowHeight="16"/>
  <sheetData>
    <row r="82" spans="2:52" ht="93">
      <c r="B82" s="608" t="s">
        <v>301</v>
      </c>
      <c r="C82" s="608"/>
      <c r="D82" s="608"/>
      <c r="E82" s="608"/>
      <c r="F82" s="608"/>
      <c r="G82" s="608"/>
      <c r="H82" s="608"/>
      <c r="I82" s="608"/>
      <c r="J82" s="608"/>
      <c r="K82" s="608"/>
      <c r="L82" s="608"/>
      <c r="M82" s="608"/>
      <c r="N82" s="608"/>
      <c r="O82" s="608"/>
      <c r="P82" s="608"/>
      <c r="Q82" s="608"/>
      <c r="R82" s="608"/>
      <c r="S82" s="608"/>
      <c r="T82" s="608"/>
      <c r="U82" s="608"/>
      <c r="V82" s="608"/>
      <c r="W82" s="608"/>
      <c r="X82" s="608"/>
      <c r="Y82" s="608"/>
      <c r="Z82" s="608"/>
      <c r="AA82" s="608"/>
      <c r="AB82" s="608"/>
      <c r="AC82" s="608"/>
      <c r="AD82" s="608"/>
      <c r="AE82" s="608"/>
      <c r="AF82" s="608"/>
      <c r="AG82" s="608"/>
      <c r="AH82" s="608"/>
      <c r="AI82" s="608"/>
      <c r="AJ82" s="608"/>
      <c r="AK82" s="608"/>
      <c r="AL82" s="608"/>
      <c r="AM82" s="608"/>
      <c r="AN82" s="608"/>
      <c r="AO82" s="608"/>
      <c r="AP82" s="608"/>
      <c r="AQ82" s="608"/>
      <c r="AR82" s="608"/>
      <c r="AS82" s="608"/>
      <c r="AT82" s="608"/>
      <c r="AU82" s="608"/>
      <c r="AV82" s="608"/>
      <c r="AW82" s="608"/>
      <c r="AX82" s="608"/>
      <c r="AY82" s="608"/>
      <c r="AZ82" s="608"/>
    </row>
    <row r="165" spans="1:52" ht="93">
      <c r="A165" s="608" t="s">
        <v>385</v>
      </c>
      <c r="B165" s="608"/>
      <c r="C165" s="608"/>
      <c r="D165" s="608"/>
      <c r="E165" s="608"/>
      <c r="F165" s="608"/>
      <c r="G165" s="608"/>
      <c r="H165" s="608"/>
      <c r="I165" s="608"/>
      <c r="J165" s="608"/>
      <c r="K165" s="608"/>
      <c r="L165" s="608"/>
      <c r="M165" s="608"/>
      <c r="N165" s="608"/>
      <c r="O165" s="608"/>
      <c r="P165" s="608"/>
      <c r="Q165" s="608"/>
      <c r="R165" s="608"/>
      <c r="S165" s="608"/>
      <c r="T165" s="608"/>
      <c r="U165" s="608"/>
      <c r="V165" s="608"/>
      <c r="W165" s="608"/>
      <c r="X165" s="608"/>
      <c r="Y165" s="608"/>
      <c r="Z165" s="608"/>
      <c r="AA165" s="608"/>
      <c r="AB165" s="608"/>
      <c r="AC165" s="608"/>
      <c r="AD165" s="608"/>
      <c r="AE165" s="608"/>
      <c r="AF165" s="608"/>
      <c r="AG165" s="608"/>
      <c r="AH165" s="608"/>
      <c r="AI165" s="608"/>
      <c r="AJ165" s="608"/>
      <c r="AK165" s="608"/>
      <c r="AL165" s="608"/>
      <c r="AM165" s="608"/>
      <c r="AN165" s="608"/>
      <c r="AO165" s="608"/>
      <c r="AP165" s="608"/>
      <c r="AQ165" s="608"/>
      <c r="AR165" s="608"/>
      <c r="AS165" s="608"/>
      <c r="AT165" s="608"/>
      <c r="AU165" s="608"/>
      <c r="AV165" s="608"/>
      <c r="AW165" s="608"/>
      <c r="AX165" s="608"/>
      <c r="AY165" s="608"/>
      <c r="AZ165" s="608"/>
    </row>
    <row r="250" spans="1:52" ht="93">
      <c r="A250" s="609" t="s">
        <v>559</v>
      </c>
      <c r="B250" s="609"/>
      <c r="C250" s="609"/>
      <c r="D250" s="609"/>
      <c r="E250" s="609"/>
      <c r="F250" s="609"/>
      <c r="G250" s="609"/>
      <c r="H250" s="609"/>
      <c r="I250" s="609"/>
      <c r="J250" s="609"/>
      <c r="K250" s="609"/>
      <c r="L250" s="609"/>
      <c r="M250" s="609"/>
      <c r="N250" s="609"/>
      <c r="O250" s="609"/>
      <c r="P250" s="609"/>
      <c r="Q250" s="609"/>
      <c r="R250" s="609"/>
      <c r="S250" s="609"/>
      <c r="T250" s="609"/>
      <c r="U250" s="609"/>
      <c r="V250" s="609"/>
      <c r="W250" s="609"/>
      <c r="X250" s="609"/>
      <c r="Y250" s="609"/>
      <c r="Z250" s="609"/>
      <c r="AA250" s="609"/>
      <c r="AB250" s="609"/>
      <c r="AC250" s="609"/>
      <c r="AD250" s="609"/>
      <c r="AE250" s="609"/>
      <c r="AF250" s="609"/>
      <c r="AG250" s="609"/>
      <c r="AH250" s="609"/>
      <c r="AI250" s="609"/>
      <c r="AJ250" s="609"/>
      <c r="AK250" s="609"/>
      <c r="AL250" s="609"/>
      <c r="AM250" s="609"/>
      <c r="AN250" s="609"/>
      <c r="AO250" s="609"/>
      <c r="AP250" s="609"/>
      <c r="AQ250" s="609"/>
      <c r="AR250" s="609"/>
      <c r="AS250" s="609"/>
      <c r="AT250" s="609"/>
      <c r="AU250" s="609"/>
      <c r="AV250" s="609"/>
      <c r="AW250" s="609"/>
      <c r="AX250" s="609"/>
      <c r="AY250" s="609"/>
      <c r="AZ250" s="609"/>
    </row>
  </sheetData>
  <mergeCells count="3">
    <mergeCell ref="B82:AZ82"/>
    <mergeCell ref="A165:AZ165"/>
    <mergeCell ref="A250:AZ2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714C7-EC9D-C947-A75F-466D15B1C99F}">
  <dimension ref="A1:BZ172"/>
  <sheetViews>
    <sheetView tabSelected="1" topLeftCell="A47" zoomScaleNormal="81" workbookViewId="0">
      <selection activeCell="G52" sqref="G52"/>
    </sheetView>
  </sheetViews>
  <sheetFormatPr baseColWidth="10" defaultColWidth="10.83203125" defaultRowHeight="16" outlineLevelRow="1"/>
  <cols>
    <col min="1" max="1" width="16.6640625" bestFit="1" customWidth="1"/>
    <col min="2" max="2" width="27.6640625" bestFit="1" customWidth="1"/>
    <col min="3" max="3" width="26.5" bestFit="1" customWidth="1"/>
    <col min="4" max="4" width="15.5" bestFit="1" customWidth="1"/>
    <col min="5" max="5" width="17.1640625" bestFit="1" customWidth="1"/>
    <col min="6" max="6" width="17.33203125" bestFit="1" customWidth="1"/>
    <col min="7" max="7" width="20" bestFit="1" customWidth="1"/>
    <col min="8" max="8" width="16.33203125" bestFit="1" customWidth="1"/>
    <col min="9" max="9" width="27.6640625" bestFit="1" customWidth="1"/>
    <col min="10" max="10" width="19.5" bestFit="1" customWidth="1"/>
    <col min="11" max="11" width="18.1640625" bestFit="1" customWidth="1"/>
    <col min="12" max="12" width="9.33203125" bestFit="1" customWidth="1"/>
    <col min="13" max="13" width="19.1640625" bestFit="1" customWidth="1"/>
    <col min="14" max="15" width="20" bestFit="1" customWidth="1"/>
    <col min="16" max="16" width="19.1640625" bestFit="1" customWidth="1"/>
    <col min="17" max="17" width="16.1640625" bestFit="1" customWidth="1"/>
    <col min="18" max="18" width="13.1640625" bestFit="1" customWidth="1"/>
    <col min="19" max="19" width="14.1640625" bestFit="1" customWidth="1"/>
    <col min="20" max="20" width="10.1640625" bestFit="1" customWidth="1"/>
    <col min="21" max="21" width="15.6640625" bestFit="1" customWidth="1"/>
    <col min="22" max="22" width="11.6640625" bestFit="1" customWidth="1"/>
    <col min="23" max="23" width="10" bestFit="1" customWidth="1"/>
    <col min="25" max="25" width="17" bestFit="1" customWidth="1"/>
    <col min="27" max="27" width="12" bestFit="1" customWidth="1"/>
    <col min="30" max="30" width="11.6640625" bestFit="1" customWidth="1"/>
    <col min="31" max="31" width="12" bestFit="1" customWidth="1"/>
    <col min="32" max="32" width="14.5" customWidth="1"/>
    <col min="33" max="33" width="13.1640625" customWidth="1"/>
  </cols>
  <sheetData>
    <row r="1" spans="1:78">
      <c r="A1" s="60"/>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row>
    <row r="2" spans="1:78">
      <c r="A2" s="60"/>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row>
    <row r="3" spans="1:78" ht="18">
      <c r="A3" s="60"/>
      <c r="B3" s="600" t="s">
        <v>59</v>
      </c>
      <c r="C3" s="601"/>
      <c r="D3" s="601"/>
      <c r="E3" s="601"/>
      <c r="F3" s="601"/>
      <c r="G3" s="601"/>
      <c r="H3" s="601"/>
      <c r="I3" s="601"/>
      <c r="J3" s="601"/>
      <c r="K3" s="602"/>
      <c r="M3" s="590" t="s">
        <v>33</v>
      </c>
      <c r="N3" s="591"/>
      <c r="O3" s="591"/>
      <c r="P3" s="591"/>
      <c r="Q3" s="591"/>
      <c r="R3" s="591"/>
      <c r="S3" s="591"/>
      <c r="T3" s="592"/>
      <c r="X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row>
    <row r="4" spans="1:78">
      <c r="A4" s="60"/>
      <c r="B4" s="65"/>
      <c r="C4" s="183" t="s">
        <v>36</v>
      </c>
      <c r="D4" s="183" t="s">
        <v>37</v>
      </c>
      <c r="E4" s="183" t="s">
        <v>38</v>
      </c>
      <c r="F4" s="183" t="s">
        <v>39</v>
      </c>
      <c r="G4" s="183" t="s">
        <v>91</v>
      </c>
      <c r="H4" s="183" t="s">
        <v>40</v>
      </c>
      <c r="I4" s="183" t="s">
        <v>41</v>
      </c>
      <c r="J4" s="183" t="s">
        <v>63</v>
      </c>
      <c r="K4" s="183" t="s">
        <v>42</v>
      </c>
      <c r="M4" s="20" t="s">
        <v>51</v>
      </c>
      <c r="N4" s="20" t="s">
        <v>47</v>
      </c>
      <c r="O4" s="20" t="s">
        <v>30</v>
      </c>
      <c r="P4" s="20" t="s">
        <v>155</v>
      </c>
      <c r="Q4" s="107" t="s">
        <v>176</v>
      </c>
      <c r="R4" s="20" t="s">
        <v>31</v>
      </c>
      <c r="S4" s="20" t="s">
        <v>553</v>
      </c>
      <c r="T4" s="20" t="s">
        <v>32</v>
      </c>
      <c r="X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row>
    <row r="5" spans="1:78">
      <c r="A5" s="60"/>
      <c r="B5" s="26" t="s">
        <v>47</v>
      </c>
      <c r="C5" s="27">
        <v>55</v>
      </c>
      <c r="D5" s="28" t="s">
        <v>43</v>
      </c>
      <c r="E5" s="29">
        <v>46148</v>
      </c>
      <c r="F5" s="28" t="s">
        <v>48</v>
      </c>
      <c r="G5" s="28" t="s">
        <v>92</v>
      </c>
      <c r="H5" s="28" t="s">
        <v>45</v>
      </c>
      <c r="I5" s="29">
        <v>46175</v>
      </c>
      <c r="J5" s="49">
        <f ca="1">MAX(0, ROUNDUP(($I5-TODAY())/7, 0))</f>
        <v>3</v>
      </c>
      <c r="K5" s="28" t="s">
        <v>46</v>
      </c>
      <c r="M5" s="108">
        <v>110</v>
      </c>
      <c r="N5" s="21">
        <v>55</v>
      </c>
      <c r="O5" s="21">
        <v>14.99</v>
      </c>
      <c r="P5" s="21">
        <v>23</v>
      </c>
      <c r="Q5" s="106">
        <v>16</v>
      </c>
      <c r="R5" s="21">
        <v>29.99</v>
      </c>
      <c r="S5" s="21">
        <v>34</v>
      </c>
      <c r="T5" s="22">
        <f>SUM(N5:S5)</f>
        <v>172.98</v>
      </c>
      <c r="X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X5" s="60"/>
      <c r="BY5" s="60"/>
      <c r="BZ5" s="60"/>
    </row>
    <row r="6" spans="1:78">
      <c r="A6" s="60"/>
      <c r="B6" s="26" t="s">
        <v>31</v>
      </c>
      <c r="C6" s="27">
        <v>29.99</v>
      </c>
      <c r="D6" s="28" t="s">
        <v>43</v>
      </c>
      <c r="E6" s="29">
        <v>46179</v>
      </c>
      <c r="F6" s="28" t="s">
        <v>44</v>
      </c>
      <c r="G6" s="28" t="s">
        <v>92</v>
      </c>
      <c r="H6" s="28" t="s">
        <v>45</v>
      </c>
      <c r="I6" s="29">
        <v>46175</v>
      </c>
      <c r="J6" s="39">
        <f ca="1">MAX(0, ROUNDUP(($I6-TODAY())/7, 0))</f>
        <v>3</v>
      </c>
      <c r="K6" s="28" t="s">
        <v>46</v>
      </c>
      <c r="M6" s="60"/>
      <c r="N6" s="60"/>
      <c r="O6" s="60"/>
      <c r="P6" s="60"/>
      <c r="Q6" s="60"/>
      <c r="R6" s="60"/>
      <c r="S6" s="60"/>
      <c r="X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X6" s="60"/>
      <c r="BY6" s="60"/>
      <c r="BZ6" s="60"/>
    </row>
    <row r="7" spans="1:78" ht="18">
      <c r="A7" s="60"/>
      <c r="B7" s="26" t="s">
        <v>176</v>
      </c>
      <c r="C7" s="27">
        <v>16</v>
      </c>
      <c r="D7" s="28" t="s">
        <v>43</v>
      </c>
      <c r="E7" s="29">
        <v>46148</v>
      </c>
      <c r="F7" s="28" t="s">
        <v>44</v>
      </c>
      <c r="G7" s="28" t="s">
        <v>92</v>
      </c>
      <c r="H7" s="28" t="s">
        <v>45</v>
      </c>
      <c r="I7" s="29">
        <v>46175</v>
      </c>
      <c r="J7" s="49">
        <f t="shared" ref="J7:J14" ca="1" si="0">MAX(0, ROUNDUP(($I7-TODAY())/7, 0))</f>
        <v>3</v>
      </c>
      <c r="K7" s="28" t="s">
        <v>46</v>
      </c>
      <c r="M7" s="590" t="s">
        <v>79</v>
      </c>
      <c r="N7" s="591"/>
      <c r="O7" s="592"/>
      <c r="X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X7" s="60"/>
      <c r="BY7" s="60"/>
      <c r="BZ7" s="60"/>
    </row>
    <row r="8" spans="1:78">
      <c r="A8" s="60"/>
      <c r="B8" s="26" t="s">
        <v>155</v>
      </c>
      <c r="C8" s="27">
        <v>22.99</v>
      </c>
      <c r="D8" s="28" t="s">
        <v>43</v>
      </c>
      <c r="E8" s="29">
        <v>46152</v>
      </c>
      <c r="F8" s="28" t="s">
        <v>44</v>
      </c>
      <c r="G8" s="28" t="s">
        <v>92</v>
      </c>
      <c r="H8" s="28" t="s">
        <v>45</v>
      </c>
      <c r="I8" s="29">
        <v>46147</v>
      </c>
      <c r="J8" s="49">
        <f t="shared" ca="1" si="0"/>
        <v>0</v>
      </c>
      <c r="K8" s="28" t="s">
        <v>46</v>
      </c>
      <c r="M8" s="20" t="s">
        <v>476</v>
      </c>
      <c r="N8" s="349" t="s">
        <v>471</v>
      </c>
      <c r="O8" s="20" t="s">
        <v>32</v>
      </c>
      <c r="X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row>
    <row r="9" spans="1:78">
      <c r="A9" s="60"/>
      <c r="B9" s="26" t="s">
        <v>50</v>
      </c>
      <c r="C9" s="27">
        <v>3.5</v>
      </c>
      <c r="D9" s="28" t="s">
        <v>43</v>
      </c>
      <c r="E9" s="29">
        <v>46162</v>
      </c>
      <c r="F9" s="28" t="s">
        <v>44</v>
      </c>
      <c r="G9" s="28" t="s">
        <v>93</v>
      </c>
      <c r="H9" s="28" t="s">
        <v>58</v>
      </c>
      <c r="I9" s="29">
        <v>46189</v>
      </c>
      <c r="J9" s="49">
        <f t="shared" ca="1" si="0"/>
        <v>5</v>
      </c>
      <c r="K9" s="28" t="s">
        <v>472</v>
      </c>
      <c r="M9" s="327">
        <f>'Money Flow'!D577</f>
        <v>331.53687500000007</v>
      </c>
      <c r="N9" s="341">
        <f>'Money Flow'!G577</f>
        <v>258.29624999999999</v>
      </c>
      <c r="O9" s="350">
        <f>SUM(M9:N9)</f>
        <v>589.83312500000011</v>
      </c>
      <c r="X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row>
    <row r="10" spans="1:78">
      <c r="A10" s="60"/>
      <c r="B10" s="26" t="s">
        <v>51</v>
      </c>
      <c r="C10" s="27">
        <v>113</v>
      </c>
      <c r="D10" s="28" t="s">
        <v>43</v>
      </c>
      <c r="E10" s="29">
        <v>46193</v>
      </c>
      <c r="F10" s="28" t="s">
        <v>49</v>
      </c>
      <c r="G10" s="28" t="s">
        <v>93</v>
      </c>
      <c r="H10" s="28" t="s">
        <v>58</v>
      </c>
      <c r="I10" s="36">
        <v>46189</v>
      </c>
      <c r="J10" s="49">
        <f t="shared" ca="1" si="0"/>
        <v>5</v>
      </c>
      <c r="K10" s="28" t="s">
        <v>472</v>
      </c>
      <c r="M10" s="60"/>
      <c r="X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row>
    <row r="11" spans="1:78">
      <c r="A11" s="60"/>
      <c r="B11" s="26" t="s">
        <v>553</v>
      </c>
      <c r="C11" s="27">
        <v>34</v>
      </c>
      <c r="D11" s="28" t="s">
        <v>43</v>
      </c>
      <c r="E11" s="29">
        <v>46168</v>
      </c>
      <c r="F11" s="28" t="s">
        <v>44</v>
      </c>
      <c r="G11" s="28" t="s">
        <v>92</v>
      </c>
      <c r="H11" s="28" t="s">
        <v>45</v>
      </c>
      <c r="I11" s="589">
        <v>46163</v>
      </c>
      <c r="J11" s="35">
        <f t="shared" ca="1" si="0"/>
        <v>1</v>
      </c>
      <c r="K11" s="28" t="s">
        <v>46</v>
      </c>
      <c r="L11" s="60"/>
      <c r="M11" s="60"/>
      <c r="X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row>
    <row r="12" spans="1:78">
      <c r="A12" s="60"/>
      <c r="B12" s="26" t="s">
        <v>52</v>
      </c>
      <c r="C12" s="27">
        <v>14.99</v>
      </c>
      <c r="D12" s="28" t="s">
        <v>43</v>
      </c>
      <c r="E12" s="29">
        <v>46170</v>
      </c>
      <c r="F12" s="28" t="s">
        <v>44</v>
      </c>
      <c r="G12" s="28" t="s">
        <v>92</v>
      </c>
      <c r="H12" s="28" t="s">
        <v>45</v>
      </c>
      <c r="I12" s="589">
        <v>46163</v>
      </c>
      <c r="J12" s="35">
        <f t="shared" ca="1" si="0"/>
        <v>1</v>
      </c>
      <c r="K12" s="28" t="s">
        <v>46</v>
      </c>
      <c r="L12" s="60"/>
      <c r="M12" s="60"/>
      <c r="X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row>
    <row r="13" spans="1:78">
      <c r="A13" s="60"/>
      <c r="B13" s="30" t="s">
        <v>34</v>
      </c>
      <c r="C13" s="31">
        <v>150</v>
      </c>
      <c r="D13" s="32" t="s">
        <v>53</v>
      </c>
      <c r="E13" s="33">
        <v>46161</v>
      </c>
      <c r="F13" s="32" t="s">
        <v>34</v>
      </c>
      <c r="G13" s="32" t="s">
        <v>92</v>
      </c>
      <c r="H13" s="32" t="s">
        <v>54</v>
      </c>
      <c r="I13" s="33">
        <v>46161</v>
      </c>
      <c r="J13" s="39">
        <f t="shared" ca="1" si="0"/>
        <v>1</v>
      </c>
      <c r="K13" s="32" t="s">
        <v>46</v>
      </c>
      <c r="L13" s="60"/>
      <c r="M13" s="60"/>
      <c r="X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row>
    <row r="14" spans="1:78">
      <c r="A14" s="60"/>
      <c r="B14" s="30" t="s">
        <v>55</v>
      </c>
      <c r="C14" s="31">
        <v>200</v>
      </c>
      <c r="D14" s="32" t="s">
        <v>53</v>
      </c>
      <c r="E14" s="33">
        <v>46161</v>
      </c>
      <c r="F14" s="32" t="s">
        <v>57</v>
      </c>
      <c r="G14" s="32" t="s">
        <v>94</v>
      </c>
      <c r="H14" s="32" t="s">
        <v>56</v>
      </c>
      <c r="I14" s="33">
        <v>46161</v>
      </c>
      <c r="J14" s="39">
        <f t="shared" ca="1" si="0"/>
        <v>1</v>
      </c>
      <c r="K14" s="32" t="s">
        <v>46</v>
      </c>
      <c r="M14" s="60"/>
      <c r="X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row>
    <row r="15" spans="1:78">
      <c r="A15" s="60"/>
      <c r="C15" s="60"/>
      <c r="D15" s="60"/>
      <c r="E15" s="60"/>
      <c r="F15" s="60"/>
      <c r="G15" s="60"/>
      <c r="H15" s="60"/>
      <c r="I15" s="60"/>
      <c r="J15" s="60"/>
      <c r="M15" s="60"/>
      <c r="N15" s="56"/>
      <c r="O15" s="56"/>
      <c r="P15" s="56"/>
      <c r="Q15" s="56"/>
      <c r="R15" s="56"/>
      <c r="S15" s="56"/>
      <c r="T15" s="56"/>
      <c r="U15" s="56"/>
      <c r="V15" s="56"/>
      <c r="W15" s="60"/>
      <c r="X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row>
    <row r="16" spans="1:78">
      <c r="A16" s="60"/>
      <c r="M16" s="60"/>
      <c r="N16" s="56"/>
      <c r="O16" s="56"/>
      <c r="P16" s="56"/>
      <c r="Q16" s="56"/>
      <c r="R16" s="56"/>
      <c r="S16" s="56"/>
      <c r="T16" s="56"/>
      <c r="U16" s="56"/>
      <c r="V16" s="56"/>
      <c r="W16" s="60"/>
      <c r="X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row>
    <row r="17" spans="1:78">
      <c r="A17" s="60"/>
      <c r="J17" s="61" t="s">
        <v>60</v>
      </c>
      <c r="K17" s="62">
        <v>46161</v>
      </c>
      <c r="M17" s="60"/>
      <c r="Q17" s="56"/>
      <c r="R17" s="56"/>
      <c r="S17" s="56"/>
      <c r="T17" s="56"/>
      <c r="U17" s="56"/>
      <c r="V17" s="56"/>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row>
    <row r="18" spans="1:78">
      <c r="A18" s="60"/>
      <c r="M18" s="60"/>
      <c r="Q18" s="56"/>
      <c r="R18" s="56"/>
      <c r="S18" s="56"/>
      <c r="T18" s="56"/>
      <c r="U18" s="56"/>
      <c r="V18" s="56"/>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row>
    <row r="19" spans="1:78">
      <c r="A19" s="60"/>
      <c r="M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row>
    <row r="20" spans="1:78" ht="18">
      <c r="A20" s="60"/>
      <c r="B20" s="598" t="s">
        <v>74</v>
      </c>
      <c r="C20" s="598"/>
      <c r="D20" s="598"/>
      <c r="E20" s="598"/>
      <c r="F20" s="598"/>
      <c r="G20" s="598"/>
      <c r="H20" s="598"/>
      <c r="I20" s="598"/>
      <c r="J20" s="598"/>
      <c r="K20" s="598"/>
      <c r="N20" s="58"/>
      <c r="O20" s="58"/>
      <c r="P20" s="82"/>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row>
    <row r="21" spans="1:78">
      <c r="A21" s="60"/>
      <c r="B21" s="183" t="s">
        <v>61</v>
      </c>
      <c r="C21" s="183" t="s">
        <v>39</v>
      </c>
      <c r="D21" s="183" t="s">
        <v>75</v>
      </c>
      <c r="E21" s="183" t="s">
        <v>76</v>
      </c>
      <c r="F21" s="183" t="s">
        <v>77</v>
      </c>
      <c r="G21" s="183" t="s">
        <v>78</v>
      </c>
      <c r="H21" s="183" t="s">
        <v>62</v>
      </c>
      <c r="I21" s="183" t="s">
        <v>63</v>
      </c>
      <c r="J21" s="183" t="s">
        <v>64</v>
      </c>
      <c r="K21" s="183" t="s">
        <v>65</v>
      </c>
      <c r="M21" s="60"/>
      <c r="N21" s="58"/>
      <c r="O21" s="58"/>
      <c r="P21" s="82"/>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row>
    <row r="22" spans="1:78">
      <c r="A22" s="60"/>
      <c r="B22" s="34" t="s">
        <v>358</v>
      </c>
      <c r="C22" s="35" t="s">
        <v>66</v>
      </c>
      <c r="D22" s="46">
        <v>4015</v>
      </c>
      <c r="E22" s="46">
        <v>8000</v>
      </c>
      <c r="F22" s="46">
        <f t="shared" ref="F22" si="1">IF(E22="","", E22-D22)</f>
        <v>3985</v>
      </c>
      <c r="G22" s="46">
        <f t="shared" ref="G22" ca="1" si="2">IF($I22&lt;=0, $F22, ROUND($F22/$I22,0))</f>
        <v>797</v>
      </c>
      <c r="H22" s="36">
        <v>46189</v>
      </c>
      <c r="I22" s="35">
        <f t="shared" ref="I22" ca="1" si="3">MAX(0, ROUNDUP(($H22-TODAY())/7, 0))</f>
        <v>5</v>
      </c>
      <c r="J22" s="37">
        <f t="shared" ref="J22" si="4">IF($E22=0, 0, $D22/$E22)</f>
        <v>0.50187499999999996</v>
      </c>
      <c r="K22" s="35" t="s">
        <v>67</v>
      </c>
      <c r="M22" s="60"/>
      <c r="N22" s="60"/>
      <c r="O22" s="60"/>
      <c r="P22" s="60"/>
      <c r="Q22" s="60"/>
      <c r="R22" s="60"/>
      <c r="S22" s="60"/>
      <c r="T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row>
    <row r="23" spans="1:78">
      <c r="A23" s="60"/>
      <c r="B23" s="38" t="s">
        <v>51</v>
      </c>
      <c r="C23" s="39" t="s">
        <v>69</v>
      </c>
      <c r="D23" s="47">
        <f ca="1">H44</f>
        <v>2445.5847079999999</v>
      </c>
      <c r="E23" s="47">
        <f ca="1">J33</f>
        <v>8126</v>
      </c>
      <c r="F23" s="47">
        <f ca="1">IF(E23="","", E23-D23)</f>
        <v>5680.4152919999997</v>
      </c>
      <c r="G23" s="47">
        <f ca="1">IF($I23&lt;=0, $F23, ROUND($F23/$I23,0))</f>
        <v>80</v>
      </c>
      <c r="H23" s="40">
        <v>46650</v>
      </c>
      <c r="I23" s="39">
        <f ca="1">MAX(0, ROUNDUP(($H23-TODAY())/7, 0))</f>
        <v>71</v>
      </c>
      <c r="J23" s="41">
        <f ca="1">IF($E23=0, 0, $D23/$E23)</f>
        <v>0.300958</v>
      </c>
      <c r="K23" s="39" t="s">
        <v>68</v>
      </c>
      <c r="M23" s="60"/>
      <c r="N23" s="60"/>
      <c r="O23" s="60"/>
      <c r="P23" s="60"/>
      <c r="Q23" s="60"/>
      <c r="R23" s="60"/>
      <c r="S23" s="60"/>
      <c r="T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row>
    <row r="24" spans="1:78">
      <c r="A24" s="60"/>
      <c r="B24" s="38" t="s">
        <v>70</v>
      </c>
      <c r="C24" s="39" t="s">
        <v>69</v>
      </c>
      <c r="D24" s="47">
        <v>0</v>
      </c>
      <c r="E24" s="47">
        <f ca="1">D44</f>
        <v>1706.46</v>
      </c>
      <c r="F24" s="47">
        <f ca="1">IF(E24="","", E24-D24)</f>
        <v>1706.46</v>
      </c>
      <c r="G24" s="47">
        <f ca="1">IF($I24&lt;=0, $F24, ROUND($F24/$I24,0))</f>
        <v>24</v>
      </c>
      <c r="H24" s="40">
        <v>46650</v>
      </c>
      <c r="I24" s="39">
        <f ca="1">MAX(0, ROUNDUP(($H24-TODAY())/7, 0))</f>
        <v>71</v>
      </c>
      <c r="J24" s="41">
        <f ca="1">IF($E24=0, 0, $D24/$E24)</f>
        <v>0</v>
      </c>
      <c r="K24" s="39" t="s">
        <v>68</v>
      </c>
      <c r="M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row>
    <row r="25" spans="1:78">
      <c r="A25" s="60"/>
      <c r="B25" s="38" t="s">
        <v>359</v>
      </c>
      <c r="C25" s="39" t="s">
        <v>69</v>
      </c>
      <c r="D25" s="47">
        <f>C83</f>
        <v>1500</v>
      </c>
      <c r="E25" s="47">
        <v>10000</v>
      </c>
      <c r="F25" s="47">
        <f>IF(E25="","", E25-D25)</f>
        <v>8500</v>
      </c>
      <c r="G25" s="47">
        <f ca="1">IF($I25&lt;=0, $F25, ROUND($F25/$I25,0))</f>
        <v>258</v>
      </c>
      <c r="H25" s="40">
        <v>46386</v>
      </c>
      <c r="I25" s="39">
        <f ca="1">MAX(0, ROUNDUP(($H25-TODAY())/7, 0))</f>
        <v>33</v>
      </c>
      <c r="J25" s="41">
        <f>IF($E25=0, 0, $D25/$E25)</f>
        <v>0.15</v>
      </c>
      <c r="K25" s="35" t="s">
        <v>67</v>
      </c>
      <c r="M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row>
    <row r="26" spans="1:78">
      <c r="A26" s="60"/>
      <c r="B26" s="42" t="s">
        <v>71</v>
      </c>
      <c r="C26" s="43" t="s">
        <v>72</v>
      </c>
      <c r="D26" s="48">
        <v>0</v>
      </c>
      <c r="E26" s="48">
        <v>100000</v>
      </c>
      <c r="F26" s="48">
        <f>IF(E26="","", E26-D26)</f>
        <v>100000</v>
      </c>
      <c r="G26" s="48">
        <f ca="1">IF($I26&lt;=0, $F26, ROUND($F26/$I26,0))</f>
        <v>2174</v>
      </c>
      <c r="H26" s="44">
        <v>46478</v>
      </c>
      <c r="I26" s="43">
        <f ca="1">MAX(0, ROUNDUP(($H26-TODAY())/7, 0))</f>
        <v>46</v>
      </c>
      <c r="J26" s="45">
        <f>IF($E26=0, 0, $D26/$E26)</f>
        <v>0</v>
      </c>
      <c r="K26" s="43" t="s">
        <v>73</v>
      </c>
      <c r="M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row>
    <row r="27" spans="1:78">
      <c r="A27" s="60"/>
      <c r="B27" s="42" t="s">
        <v>218</v>
      </c>
      <c r="C27" s="43" t="s">
        <v>72</v>
      </c>
      <c r="D27" s="48">
        <f ca="1">C86</f>
        <v>872.22530533052009</v>
      </c>
      <c r="E27" s="48">
        <v>1000000</v>
      </c>
      <c r="F27" s="48">
        <f ca="1">IF(E27="","", E27-D27)</f>
        <v>999127.77469466953</v>
      </c>
      <c r="G27" s="48">
        <f ca="1">IF($I27&lt;=0, $F27, ROUND($F27/$I27,0))</f>
        <v>1151</v>
      </c>
      <c r="H27" s="44">
        <v>52230</v>
      </c>
      <c r="I27" s="43">
        <f ca="1">MAX(0, ROUNDUP(($H27-TODAY())/7, 0))</f>
        <v>868</v>
      </c>
      <c r="J27" s="45">
        <f ca="1">IF($E27=0, 0, $D27/$E27)</f>
        <v>8.7222530533052011E-4</v>
      </c>
      <c r="K27" s="43" t="s">
        <v>73</v>
      </c>
      <c r="L27" s="60"/>
      <c r="M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row>
    <row r="28" spans="1:78">
      <c r="A28" s="60"/>
      <c r="M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row>
    <row r="29" spans="1:78">
      <c r="A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row>
    <row r="30" spans="1:78" ht="18">
      <c r="A30" s="60"/>
      <c r="B30" s="600" t="s">
        <v>51</v>
      </c>
      <c r="C30" s="601"/>
      <c r="D30" s="601"/>
      <c r="E30" s="601"/>
      <c r="F30" s="601"/>
      <c r="G30" s="601"/>
      <c r="H30" s="601"/>
      <c r="I30" s="601"/>
      <c r="J30" s="602"/>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row>
    <row r="31" spans="1:78">
      <c r="A31" s="60"/>
      <c r="B31" s="89" t="s">
        <v>80</v>
      </c>
      <c r="C31" s="606" t="s">
        <v>162</v>
      </c>
      <c r="D31" s="607"/>
      <c r="E31" s="606" t="s">
        <v>165</v>
      </c>
      <c r="F31" s="607"/>
      <c r="G31" s="606" t="s">
        <v>167</v>
      </c>
      <c r="H31" s="607"/>
      <c r="I31" s="606" t="s">
        <v>169</v>
      </c>
      <c r="J31" s="607"/>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row>
    <row r="32" spans="1:78">
      <c r="A32" s="60"/>
      <c r="B32" s="92"/>
      <c r="C32" s="90" t="s">
        <v>163</v>
      </c>
      <c r="D32" s="91" t="s">
        <v>164</v>
      </c>
      <c r="E32" s="90" t="s">
        <v>166</v>
      </c>
      <c r="F32" s="91" t="s">
        <v>164</v>
      </c>
      <c r="G32" s="90" t="s">
        <v>163</v>
      </c>
      <c r="H32" s="91" t="s">
        <v>164</v>
      </c>
      <c r="I32" s="90" t="s">
        <v>163</v>
      </c>
      <c r="J32" s="91" t="s">
        <v>164</v>
      </c>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row>
    <row r="33" spans="1:78">
      <c r="A33" s="60"/>
      <c r="B33" s="64" t="s">
        <v>168</v>
      </c>
      <c r="C33" s="93">
        <v>150</v>
      </c>
      <c r="D33" s="94">
        <f ca="1">C33*K78</f>
        <v>243.78</v>
      </c>
      <c r="E33" s="95">
        <f t="shared" ref="E33:E39" si="5">G33-C33</f>
        <v>64.97</v>
      </c>
      <c r="F33" s="94">
        <f ca="1">E33*K78</f>
        <v>105.58924399999999</v>
      </c>
      <c r="G33" s="95">
        <v>214.97</v>
      </c>
      <c r="H33" s="94">
        <f ca="1">G33*K78</f>
        <v>349.36924399999998</v>
      </c>
      <c r="I33" s="95">
        <v>5000</v>
      </c>
      <c r="J33" s="94">
        <f ca="1">I33*K78</f>
        <v>8126</v>
      </c>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row>
    <row r="34" spans="1:78" hidden="1" outlineLevel="1">
      <c r="A34" s="60"/>
      <c r="B34" s="88">
        <v>45950</v>
      </c>
      <c r="C34" s="85">
        <v>150</v>
      </c>
      <c r="D34" s="86">
        <f ca="1">C34*K78</f>
        <v>243.78</v>
      </c>
      <c r="E34" s="87">
        <f t="shared" si="5"/>
        <v>64.97</v>
      </c>
      <c r="F34" s="86">
        <f ca="1">E34*K78</f>
        <v>105.58924399999999</v>
      </c>
      <c r="G34" s="87">
        <v>214.97</v>
      </c>
      <c r="H34" s="86">
        <f ca="1">G34*K78</f>
        <v>349.36924399999998</v>
      </c>
      <c r="I34" s="87">
        <f>I33-G34</f>
        <v>4785.03</v>
      </c>
      <c r="J34" s="86">
        <f ca="1">J33-H34</f>
        <v>7776.6307560000005</v>
      </c>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row>
    <row r="35" spans="1:78" hidden="1" outlineLevel="1">
      <c r="A35" s="60"/>
      <c r="B35" s="88">
        <v>45981</v>
      </c>
      <c r="C35" s="85">
        <v>150</v>
      </c>
      <c r="D35" s="86">
        <f ca="1">C35*K78</f>
        <v>243.78</v>
      </c>
      <c r="E35" s="87">
        <f t="shared" si="5"/>
        <v>64.97</v>
      </c>
      <c r="F35" s="86">
        <f ca="1">E35*K78</f>
        <v>105.58924399999999</v>
      </c>
      <c r="G35" s="87">
        <v>214.97</v>
      </c>
      <c r="H35" s="86">
        <f ca="1">G35*K78</f>
        <v>349.36924399999998</v>
      </c>
      <c r="I35" s="87">
        <f t="shared" ref="I35:I37" si="6">I34-G35</f>
        <v>4570.0599999999995</v>
      </c>
      <c r="J35" s="86">
        <f t="shared" ref="J35:J37" ca="1" si="7">J34-H35</f>
        <v>7427.2615120000009</v>
      </c>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row>
    <row r="36" spans="1:78" hidden="1" outlineLevel="1">
      <c r="A36" s="60"/>
      <c r="B36" s="88">
        <v>46011</v>
      </c>
      <c r="C36" s="85">
        <v>150</v>
      </c>
      <c r="D36" s="86">
        <f ca="1">C36*K78</f>
        <v>243.78</v>
      </c>
      <c r="E36" s="87">
        <f t="shared" si="5"/>
        <v>64.97</v>
      </c>
      <c r="F36" s="86">
        <f ca="1">E36*K78</f>
        <v>105.58924399999999</v>
      </c>
      <c r="G36" s="87">
        <v>214.97</v>
      </c>
      <c r="H36" s="86">
        <f ca="1">G36*K78</f>
        <v>349.36924399999998</v>
      </c>
      <c r="I36" s="87">
        <f t="shared" si="6"/>
        <v>4355.0899999999992</v>
      </c>
      <c r="J36" s="86">
        <f t="shared" ca="1" si="7"/>
        <v>7077.8922680000014</v>
      </c>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row>
    <row r="37" spans="1:78" hidden="1" outlineLevel="1">
      <c r="A37" s="60"/>
      <c r="B37" s="88">
        <v>46042</v>
      </c>
      <c r="C37" s="85">
        <v>150</v>
      </c>
      <c r="D37" s="86">
        <f ca="1">C37*K78</f>
        <v>243.78</v>
      </c>
      <c r="E37" s="87">
        <f t="shared" si="5"/>
        <v>64.97</v>
      </c>
      <c r="F37" s="86">
        <f ca="1">E37*K78</f>
        <v>105.58924399999999</v>
      </c>
      <c r="G37" s="87">
        <v>214.97</v>
      </c>
      <c r="H37" s="86">
        <f ca="1">G37*K78</f>
        <v>349.36924399999998</v>
      </c>
      <c r="I37" s="87">
        <f t="shared" si="6"/>
        <v>4140.119999999999</v>
      </c>
      <c r="J37" s="86">
        <f t="shared" ca="1" si="7"/>
        <v>6728.5230240000019</v>
      </c>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0"/>
      <c r="BZ37" s="60"/>
    </row>
    <row r="38" spans="1:78" hidden="1" outlineLevel="1">
      <c r="A38" s="60"/>
      <c r="B38" s="88">
        <v>46073</v>
      </c>
      <c r="C38" s="85">
        <v>150</v>
      </c>
      <c r="D38" s="86">
        <f ca="1">C38*K78</f>
        <v>243.78</v>
      </c>
      <c r="E38" s="87">
        <f t="shared" si="5"/>
        <v>64.97</v>
      </c>
      <c r="F38" s="86">
        <f ca="1">E38*K78</f>
        <v>105.58924399999999</v>
      </c>
      <c r="G38" s="87">
        <v>214.97</v>
      </c>
      <c r="H38" s="86">
        <f ca="1">G38*K78</f>
        <v>349.36924399999998</v>
      </c>
      <c r="I38" s="87">
        <f>I37-G38</f>
        <v>3925.1499999999992</v>
      </c>
      <c r="J38" s="86">
        <f ca="1">J37-H38</f>
        <v>6379.1537800000024</v>
      </c>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row>
    <row r="39" spans="1:78" hidden="1" outlineLevel="1">
      <c r="A39" s="60"/>
      <c r="B39" s="88">
        <v>46101</v>
      </c>
      <c r="C39" s="87">
        <v>150</v>
      </c>
      <c r="D39" s="86">
        <f ca="1">C39*K78</f>
        <v>243.78</v>
      </c>
      <c r="E39" s="87">
        <f t="shared" si="5"/>
        <v>64.97</v>
      </c>
      <c r="F39" s="86">
        <f ca="1">E39*K78</f>
        <v>105.58924399999999</v>
      </c>
      <c r="G39" s="87">
        <v>214.97</v>
      </c>
      <c r="H39" s="86">
        <f ca="1">G39*K78</f>
        <v>349.36924399999998</v>
      </c>
      <c r="I39" s="87">
        <v>3769.85</v>
      </c>
      <c r="J39" s="86">
        <f ca="1">J38-H39</f>
        <v>6029.7845360000028</v>
      </c>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row>
    <row r="40" spans="1:78" collapsed="1">
      <c r="A40" s="60"/>
      <c r="B40" s="88">
        <v>46132</v>
      </c>
      <c r="C40" s="87">
        <v>150</v>
      </c>
      <c r="D40" s="86">
        <f ca="1">C40*K78</f>
        <v>243.78</v>
      </c>
      <c r="E40" s="87">
        <f>G40-C40</f>
        <v>64.97</v>
      </c>
      <c r="F40" s="86">
        <f ca="1">E40*K78</f>
        <v>105.58924399999999</v>
      </c>
      <c r="G40" s="87">
        <v>214.97</v>
      </c>
      <c r="H40" s="86">
        <f ca="1">G40*K78</f>
        <v>349.36924399999998</v>
      </c>
      <c r="I40" s="87">
        <f>I39-G40</f>
        <v>3554.88</v>
      </c>
      <c r="J40" s="86">
        <f ca="1">J39-H40</f>
        <v>5680.4152920000033</v>
      </c>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0"/>
      <c r="BZ40" s="60"/>
    </row>
    <row r="41" spans="1:78">
      <c r="A41" s="60"/>
      <c r="B41" s="88">
        <v>46162</v>
      </c>
      <c r="C41" s="87"/>
      <c r="D41" s="83"/>
      <c r="E41" s="87"/>
      <c r="F41" s="83"/>
      <c r="G41" s="87"/>
      <c r="H41" s="83"/>
      <c r="I41" s="87"/>
      <c r="J41" s="83"/>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row>
    <row r="42" spans="1:78">
      <c r="A42" s="60"/>
      <c r="B42" s="88">
        <v>46193</v>
      </c>
      <c r="C42" s="87"/>
      <c r="D42" s="83"/>
      <c r="E42" s="87"/>
      <c r="F42" s="83"/>
      <c r="G42" s="87"/>
      <c r="H42" s="83"/>
      <c r="I42" s="87"/>
      <c r="J42" s="83"/>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row>
    <row r="43" spans="1:78">
      <c r="A43" s="60"/>
      <c r="B43" s="88">
        <v>46223</v>
      </c>
      <c r="C43" s="87"/>
      <c r="D43" s="83"/>
      <c r="E43" s="87"/>
      <c r="F43" s="83"/>
      <c r="G43" s="87"/>
      <c r="H43" s="83"/>
      <c r="I43" s="87"/>
      <c r="J43" s="83"/>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60"/>
    </row>
    <row r="44" spans="1:78">
      <c r="A44" s="60"/>
      <c r="B44" s="84" t="s">
        <v>170</v>
      </c>
      <c r="C44" s="87">
        <f t="shared" ref="C44:H44" si="8">SUM(C34:C43)</f>
        <v>1050</v>
      </c>
      <c r="D44" s="86">
        <f t="shared" ca="1" si="8"/>
        <v>1706.46</v>
      </c>
      <c r="E44" s="87">
        <f t="shared" si="8"/>
        <v>454.79000000000008</v>
      </c>
      <c r="F44" s="86">
        <f t="shared" ca="1" si="8"/>
        <v>739.12470799999994</v>
      </c>
      <c r="G44" s="87">
        <f>SUM(G34:G43)</f>
        <v>1504.79</v>
      </c>
      <c r="H44" s="86">
        <f t="shared" ca="1" si="8"/>
        <v>2445.5847079999999</v>
      </c>
      <c r="I44" s="87">
        <f>I40</f>
        <v>3554.88</v>
      </c>
      <c r="J44" s="86">
        <f ca="1">J40</f>
        <v>5680.4152920000033</v>
      </c>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row>
    <row r="45" spans="1:78">
      <c r="A45" s="60"/>
      <c r="T45" s="60"/>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0"/>
      <c r="BZ45" s="60"/>
    </row>
    <row r="46" spans="1:78">
      <c r="A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row>
    <row r="47" spans="1:78" ht="18">
      <c r="A47" s="60"/>
      <c r="B47" s="605" t="s">
        <v>345</v>
      </c>
      <c r="C47" s="605"/>
      <c r="D47" s="605"/>
      <c r="E47" s="605"/>
      <c r="F47" s="605"/>
      <c r="G47" s="605"/>
      <c r="H47" s="605"/>
      <c r="I47" s="605"/>
      <c r="J47" s="605"/>
      <c r="K47" s="605"/>
      <c r="L47" s="605"/>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0"/>
    </row>
    <row r="48" spans="1:78">
      <c r="A48" s="60"/>
      <c r="B48" s="53"/>
      <c r="C48" s="599" t="s">
        <v>81</v>
      </c>
      <c r="D48" s="599"/>
      <c r="E48" s="603" t="s">
        <v>82</v>
      </c>
      <c r="F48" s="603"/>
      <c r="G48" s="603"/>
      <c r="H48" s="603"/>
      <c r="I48" s="603"/>
      <c r="J48" s="604" t="s">
        <v>83</v>
      </c>
      <c r="K48" s="604"/>
      <c r="L48" s="53"/>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0"/>
    </row>
    <row r="49" spans="1:78">
      <c r="A49" s="60"/>
      <c r="B49" s="53"/>
      <c r="C49" s="205" t="s">
        <v>84</v>
      </c>
      <c r="D49" s="206" t="s">
        <v>85</v>
      </c>
      <c r="E49" s="207" t="s">
        <v>339</v>
      </c>
      <c r="F49" s="208" t="s">
        <v>338</v>
      </c>
      <c r="G49" s="209" t="s">
        <v>340</v>
      </c>
      <c r="H49" s="282" t="s">
        <v>341</v>
      </c>
      <c r="I49" s="297" t="s">
        <v>342</v>
      </c>
      <c r="J49" s="294" t="s">
        <v>86</v>
      </c>
      <c r="K49" s="210" t="s">
        <v>87</v>
      </c>
      <c r="L49" s="184" t="s">
        <v>90</v>
      </c>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0"/>
    </row>
    <row r="50" spans="1:78" outlineLevel="1">
      <c r="A50" s="60"/>
      <c r="B50" s="50" t="s">
        <v>88</v>
      </c>
      <c r="C50" s="195">
        <v>117.49</v>
      </c>
      <c r="D50" s="197">
        <v>15.03</v>
      </c>
      <c r="E50" s="199">
        <v>0</v>
      </c>
      <c r="F50" s="201">
        <v>202.62</v>
      </c>
      <c r="G50" s="193">
        <v>50.01</v>
      </c>
      <c r="H50" s="281">
        <v>0</v>
      </c>
      <c r="I50" s="298">
        <v>50.01</v>
      </c>
      <c r="J50" s="295">
        <f ca="1">7*K78</f>
        <v>11.3764</v>
      </c>
      <c r="K50" s="203">
        <f ca="1">12*K78</f>
        <v>19.502400000000002</v>
      </c>
      <c r="L50" s="67">
        <f t="shared" ref="L50:L56" ca="1" si="9">SUM(C50:K50)</f>
        <v>466.03879999999998</v>
      </c>
      <c r="M50" s="339" t="s">
        <v>88</v>
      </c>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row>
    <row r="51" spans="1:78" outlineLevel="1">
      <c r="A51" s="60"/>
      <c r="B51" s="50" t="s">
        <v>89</v>
      </c>
      <c r="C51" s="195">
        <v>67.489999999999995</v>
      </c>
      <c r="D51" s="197">
        <v>15.03</v>
      </c>
      <c r="E51" s="199">
        <v>0</v>
      </c>
      <c r="F51" s="201">
        <v>120.79</v>
      </c>
      <c r="G51" s="193">
        <v>50.01</v>
      </c>
      <c r="H51" s="281">
        <v>0</v>
      </c>
      <c r="I51" s="298">
        <v>50.01</v>
      </c>
      <c r="J51" s="295">
        <f ca="1">7*K78</f>
        <v>11.3764</v>
      </c>
      <c r="K51" s="203">
        <f ca="1">12*K78</f>
        <v>19.502400000000002</v>
      </c>
      <c r="L51" s="67">
        <f t="shared" ca="1" si="9"/>
        <v>334.2088</v>
      </c>
      <c r="M51" s="339" t="s">
        <v>89</v>
      </c>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0"/>
      <c r="BZ51" s="60"/>
    </row>
    <row r="52" spans="1:78" outlineLevel="1">
      <c r="A52" s="60"/>
      <c r="B52" s="52" t="s">
        <v>110</v>
      </c>
      <c r="C52" s="196">
        <v>31</v>
      </c>
      <c r="D52" s="198">
        <v>205.01</v>
      </c>
      <c r="E52" s="199">
        <v>0</v>
      </c>
      <c r="F52" s="202">
        <v>162</v>
      </c>
      <c r="G52" s="194">
        <v>75</v>
      </c>
      <c r="H52" s="281">
        <v>0</v>
      </c>
      <c r="I52" s="299">
        <v>200</v>
      </c>
      <c r="J52" s="296">
        <f ca="1">4*K78</f>
        <v>6.5007999999999999</v>
      </c>
      <c r="K52" s="203">
        <f ca="1">12*K78</f>
        <v>19.502400000000002</v>
      </c>
      <c r="L52" s="67">
        <f t="shared" ca="1" si="9"/>
        <v>699.01319999999998</v>
      </c>
      <c r="M52" s="68" t="s">
        <v>110</v>
      </c>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0"/>
    </row>
    <row r="53" spans="1:78" outlineLevel="1">
      <c r="A53" s="60"/>
      <c r="B53" s="52" t="s">
        <v>111</v>
      </c>
      <c r="C53" s="196">
        <v>152</v>
      </c>
      <c r="D53" s="198">
        <v>105</v>
      </c>
      <c r="E53" s="199">
        <v>0</v>
      </c>
      <c r="F53" s="202">
        <v>325.66000000000003</v>
      </c>
      <c r="G53" s="194">
        <v>75</v>
      </c>
      <c r="H53" s="281">
        <v>0</v>
      </c>
      <c r="I53" s="299">
        <v>330</v>
      </c>
      <c r="J53" s="296">
        <f ca="1">4*K78</f>
        <v>6.5007999999999999</v>
      </c>
      <c r="K53" s="203">
        <f ca="1">12*K78</f>
        <v>19.502400000000002</v>
      </c>
      <c r="L53" s="67">
        <f t="shared" ca="1" si="9"/>
        <v>1013.6632000000001</v>
      </c>
      <c r="M53" s="68" t="s">
        <v>111</v>
      </c>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0"/>
    </row>
    <row r="54" spans="1:78" outlineLevel="1">
      <c r="A54" s="60"/>
      <c r="B54" s="81" t="s">
        <v>154</v>
      </c>
      <c r="C54" s="196">
        <v>49.59</v>
      </c>
      <c r="D54" s="198">
        <v>755</v>
      </c>
      <c r="E54" s="199">
        <v>0</v>
      </c>
      <c r="F54" s="202">
        <v>385.3</v>
      </c>
      <c r="G54" s="194">
        <v>75</v>
      </c>
      <c r="H54" s="281">
        <v>0</v>
      </c>
      <c r="I54" s="299">
        <v>330</v>
      </c>
      <c r="J54" s="296">
        <f ca="1">4*K78</f>
        <v>6.5007999999999999</v>
      </c>
      <c r="K54" s="203">
        <f ca="1">12*K78</f>
        <v>19.502400000000002</v>
      </c>
      <c r="L54" s="67">
        <f t="shared" ca="1" si="9"/>
        <v>1620.8932000000002</v>
      </c>
      <c r="M54" s="340" t="s">
        <v>154</v>
      </c>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row>
    <row r="55" spans="1:78" outlineLevel="1">
      <c r="A55" s="60"/>
      <c r="B55" s="81" t="s">
        <v>161</v>
      </c>
      <c r="C55" s="196">
        <v>45.09</v>
      </c>
      <c r="D55" s="198">
        <v>755</v>
      </c>
      <c r="E55" s="199">
        <v>0</v>
      </c>
      <c r="F55" s="202">
        <v>261.36</v>
      </c>
      <c r="G55" s="194">
        <v>75</v>
      </c>
      <c r="H55" s="281">
        <v>0</v>
      </c>
      <c r="I55" s="299">
        <v>330</v>
      </c>
      <c r="J55" s="296">
        <f ca="1">18*K78</f>
        <v>29.253599999999999</v>
      </c>
      <c r="K55" s="203">
        <f ca="1">12*K78</f>
        <v>19.502400000000002</v>
      </c>
      <c r="L55" s="67">
        <f t="shared" ca="1" si="9"/>
        <v>1515.2060000000001</v>
      </c>
      <c r="M55" s="340" t="s">
        <v>161</v>
      </c>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0"/>
    </row>
    <row r="56" spans="1:78" outlineLevel="1">
      <c r="A56" s="60"/>
      <c r="B56" s="52" t="s">
        <v>191</v>
      </c>
      <c r="C56" s="196">
        <v>330</v>
      </c>
      <c r="D56" s="198">
        <v>10</v>
      </c>
      <c r="E56" s="199">
        <v>0</v>
      </c>
      <c r="F56" s="202">
        <v>244</v>
      </c>
      <c r="G56" s="194">
        <v>0</v>
      </c>
      <c r="H56" s="281">
        <v>0</v>
      </c>
      <c r="I56" s="299">
        <v>660</v>
      </c>
      <c r="J56" s="296">
        <f ca="1">365*K78</f>
        <v>593.19799999999998</v>
      </c>
      <c r="K56" s="203">
        <f ca="1">12*K78</f>
        <v>19.502400000000002</v>
      </c>
      <c r="L56" s="67">
        <f t="shared" ca="1" si="9"/>
        <v>1856.7003999999999</v>
      </c>
      <c r="M56" s="68" t="s">
        <v>191</v>
      </c>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0"/>
    </row>
    <row r="57" spans="1:78" outlineLevel="1">
      <c r="A57" s="60"/>
      <c r="B57" s="52" t="s">
        <v>256</v>
      </c>
      <c r="C57" s="196">
        <v>390</v>
      </c>
      <c r="D57" s="198">
        <v>10</v>
      </c>
      <c r="E57" s="200">
        <v>0</v>
      </c>
      <c r="F57" s="202">
        <v>200</v>
      </c>
      <c r="G57" s="194">
        <v>300</v>
      </c>
      <c r="H57" s="281">
        <v>0</v>
      </c>
      <c r="I57" s="299">
        <v>1575</v>
      </c>
      <c r="J57" s="185">
        <f ca="1">150*K78</f>
        <v>243.78</v>
      </c>
      <c r="K57" s="204">
        <f ca="1">12*K78</f>
        <v>19.502400000000002</v>
      </c>
      <c r="L57" s="67">
        <f>SUM(C57:I57)</f>
        <v>2475</v>
      </c>
      <c r="M57" s="68" t="s">
        <v>256</v>
      </c>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row>
    <row r="58" spans="1:78" outlineLevel="1">
      <c r="A58" s="60"/>
      <c r="B58" s="52" t="s">
        <v>298</v>
      </c>
      <c r="C58" s="196">
        <v>260</v>
      </c>
      <c r="D58" s="198">
        <v>50</v>
      </c>
      <c r="E58" s="200">
        <v>4</v>
      </c>
      <c r="F58" s="202">
        <v>47</v>
      </c>
      <c r="G58" s="194">
        <v>300</v>
      </c>
      <c r="H58" s="281">
        <v>0</v>
      </c>
      <c r="I58" s="299">
        <v>1175</v>
      </c>
      <c r="J58" s="185">
        <f ca="1">150*K78</f>
        <v>243.78</v>
      </c>
      <c r="K58" s="204">
        <f ca="1">12*K78</f>
        <v>19.502400000000002</v>
      </c>
      <c r="L58" s="67">
        <f ca="1">SUM(C58:K58)</f>
        <v>2099.2824000000001</v>
      </c>
      <c r="M58" s="68" t="s">
        <v>298</v>
      </c>
      <c r="N58" s="189"/>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row>
    <row r="59" spans="1:78" outlineLevel="1">
      <c r="A59" s="60"/>
      <c r="B59" s="52" t="s">
        <v>308</v>
      </c>
      <c r="C59" s="196">
        <v>80</v>
      </c>
      <c r="D59" s="198">
        <v>101</v>
      </c>
      <c r="E59" s="200">
        <v>4</v>
      </c>
      <c r="F59" s="202">
        <v>153</v>
      </c>
      <c r="G59" s="194">
        <v>300</v>
      </c>
      <c r="H59" s="281">
        <v>0</v>
      </c>
      <c r="I59" s="299">
        <v>1175</v>
      </c>
      <c r="J59" s="185">
        <f ca="1">150*K78</f>
        <v>243.78</v>
      </c>
      <c r="K59" s="204">
        <f ca="1">12*K78</f>
        <v>19.502400000000002</v>
      </c>
      <c r="L59" s="67">
        <f ca="1">SUM(C59:K59)</f>
        <v>2076.2824000000001</v>
      </c>
      <c r="M59" s="68" t="s">
        <v>308</v>
      </c>
      <c r="N59" s="189"/>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row>
    <row r="60" spans="1:78" outlineLevel="1">
      <c r="A60" s="60"/>
      <c r="B60" s="250" t="s">
        <v>321</v>
      </c>
      <c r="C60" s="196">
        <v>250</v>
      </c>
      <c r="D60" s="198">
        <v>101</v>
      </c>
      <c r="E60" s="200">
        <v>4</v>
      </c>
      <c r="F60" s="202">
        <v>300</v>
      </c>
      <c r="G60" s="194">
        <v>400</v>
      </c>
      <c r="H60" s="281">
        <v>0</v>
      </c>
      <c r="I60" s="299">
        <v>1975</v>
      </c>
      <c r="J60" s="185">
        <f ca="1">150*K78</f>
        <v>243.78</v>
      </c>
      <c r="K60" s="204">
        <f ca="1">12*K78</f>
        <v>19.502400000000002</v>
      </c>
      <c r="L60" s="67">
        <f ca="1">SUM(C60:K60)</f>
        <v>3293.2824000000001</v>
      </c>
      <c r="M60" s="340" t="s">
        <v>321</v>
      </c>
      <c r="N60" s="189"/>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row>
    <row r="61" spans="1:78" outlineLevel="1">
      <c r="A61" s="60"/>
      <c r="B61" s="250" t="s">
        <v>343</v>
      </c>
      <c r="C61" s="196">
        <v>93</v>
      </c>
      <c r="D61" s="198">
        <v>21</v>
      </c>
      <c r="E61" s="200">
        <v>4</v>
      </c>
      <c r="F61" s="202">
        <v>30</v>
      </c>
      <c r="G61" s="194">
        <v>478</v>
      </c>
      <c r="H61" s="281">
        <v>400</v>
      </c>
      <c r="I61" s="299">
        <v>1500</v>
      </c>
      <c r="J61" s="185">
        <f ca="1">150*K78</f>
        <v>243.78</v>
      </c>
      <c r="K61" s="204">
        <f ca="1">12*K78</f>
        <v>19.502400000000002</v>
      </c>
      <c r="L61" s="67">
        <f ca="1">SUM(C61:K61)</f>
        <v>2789.2824000000001</v>
      </c>
      <c r="M61" s="340" t="s">
        <v>343</v>
      </c>
      <c r="N61" s="189"/>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row>
    <row r="62" spans="1:78" outlineLevel="1">
      <c r="A62" s="60"/>
      <c r="B62" s="250" t="s">
        <v>355</v>
      </c>
      <c r="C62" s="196">
        <v>267</v>
      </c>
      <c r="D62" s="198">
        <v>20</v>
      </c>
      <c r="E62" s="200">
        <v>4</v>
      </c>
      <c r="F62" s="202">
        <v>66</v>
      </c>
      <c r="G62" s="194">
        <v>978</v>
      </c>
      <c r="H62" s="281">
        <v>500</v>
      </c>
      <c r="I62" s="299">
        <v>1500</v>
      </c>
      <c r="J62" s="185">
        <f ca="1">150*K78</f>
        <v>243.78</v>
      </c>
      <c r="K62" s="204">
        <f ca="1">12*K78</f>
        <v>19.502400000000002</v>
      </c>
      <c r="L62" s="67">
        <f ca="1">SUM(C62:K62)</f>
        <v>3598.2824000000001</v>
      </c>
      <c r="M62" s="340" t="s">
        <v>355</v>
      </c>
      <c r="N62" s="189"/>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row>
    <row r="63" spans="1:78" outlineLevel="1">
      <c r="A63" s="60"/>
      <c r="B63" s="250" t="s">
        <v>376</v>
      </c>
      <c r="C63" s="196">
        <v>80</v>
      </c>
      <c r="D63" s="198">
        <v>62</v>
      </c>
      <c r="E63" s="200">
        <v>4</v>
      </c>
      <c r="F63" s="202">
        <v>158</v>
      </c>
      <c r="G63" s="194">
        <v>1478</v>
      </c>
      <c r="H63" s="281">
        <v>300</v>
      </c>
      <c r="I63" s="299">
        <v>1500</v>
      </c>
      <c r="J63" s="185">
        <f ca="1">150*K78</f>
        <v>243.78</v>
      </c>
      <c r="K63" s="204">
        <f ca="1">12*K78</f>
        <v>19.502400000000002</v>
      </c>
      <c r="L63" s="67">
        <f ca="1">+SUM(C63:K63)</f>
        <v>3845.2824000000001</v>
      </c>
      <c r="M63" s="340" t="s">
        <v>376</v>
      </c>
      <c r="N63" s="189"/>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row>
    <row r="64" spans="1:78" outlineLevel="1">
      <c r="A64" s="60"/>
      <c r="B64" s="250" t="s">
        <v>451</v>
      </c>
      <c r="C64" s="196">
        <v>300</v>
      </c>
      <c r="D64" s="198">
        <v>2</v>
      </c>
      <c r="E64" s="200">
        <v>4</v>
      </c>
      <c r="F64" s="202">
        <v>215</v>
      </c>
      <c r="G64" s="194">
        <v>2078</v>
      </c>
      <c r="H64" s="281">
        <v>150</v>
      </c>
      <c r="I64" s="299">
        <v>1500</v>
      </c>
      <c r="J64" s="185">
        <f ca="1">75*K78</f>
        <v>121.89</v>
      </c>
      <c r="K64" s="204">
        <f ca="1">12*K78</f>
        <v>19.502400000000002</v>
      </c>
      <c r="L64" s="67">
        <f t="shared" ref="L64:L73" ca="1" si="10">SUM(C64:K64)</f>
        <v>4390.3924000000006</v>
      </c>
      <c r="M64" s="340" t="s">
        <v>451</v>
      </c>
      <c r="N64" s="189"/>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row>
    <row r="65" spans="1:78" outlineLevel="1">
      <c r="A65" s="60"/>
      <c r="B65" s="250" t="s">
        <v>473</v>
      </c>
      <c r="C65" s="196">
        <v>83</v>
      </c>
      <c r="D65" s="198">
        <v>6.5</v>
      </c>
      <c r="E65" s="200">
        <v>4.5</v>
      </c>
      <c r="F65" s="202">
        <v>112.5</v>
      </c>
      <c r="G65" s="194">
        <v>2078</v>
      </c>
      <c r="H65" s="281">
        <v>150</v>
      </c>
      <c r="I65" s="299">
        <v>1500</v>
      </c>
      <c r="J65" s="185">
        <f ca="1">71.5*K78</f>
        <v>116.20179999999999</v>
      </c>
      <c r="K65" s="204">
        <f ca="1">12*K78</f>
        <v>19.502400000000002</v>
      </c>
      <c r="L65" s="67">
        <f t="shared" ca="1" si="10"/>
        <v>4070.2041999999997</v>
      </c>
      <c r="M65" s="340" t="str">
        <f>B65</f>
        <v>26/4/2026 - 12pm</v>
      </c>
      <c r="N65" s="189"/>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row>
    <row r="66" spans="1:78" outlineLevel="1">
      <c r="A66" s="60"/>
      <c r="B66" s="250" t="s">
        <v>509</v>
      </c>
      <c r="C66" s="196">
        <v>294.5</v>
      </c>
      <c r="D66" s="198">
        <v>62</v>
      </c>
      <c r="E66" s="200">
        <v>4.5</v>
      </c>
      <c r="F66" s="202">
        <v>83</v>
      </c>
      <c r="G66" s="194">
        <v>2850</v>
      </c>
      <c r="H66" s="281">
        <v>100</v>
      </c>
      <c r="I66" s="299">
        <v>1500</v>
      </c>
      <c r="J66" s="185">
        <f ca="1">71.5*K78</f>
        <v>116.20179999999999</v>
      </c>
      <c r="K66" s="204">
        <f ca="1">12*K78</f>
        <v>19.502400000000002</v>
      </c>
      <c r="L66" s="67">
        <f ca="1">SUM(C66:K66)</f>
        <v>5029.7042000000001</v>
      </c>
      <c r="M66" s="340" t="str">
        <f>B66</f>
        <v>28/4/2026 - 9pm</v>
      </c>
      <c r="N66" s="189"/>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row>
    <row r="67" spans="1:78" outlineLevel="1">
      <c r="A67" s="60"/>
      <c r="B67" s="250" t="s">
        <v>520</v>
      </c>
      <c r="C67" s="196">
        <v>0.25</v>
      </c>
      <c r="D67" s="198">
        <v>12.03</v>
      </c>
      <c r="E67" s="200">
        <v>4.5</v>
      </c>
      <c r="F67" s="202">
        <v>104.5</v>
      </c>
      <c r="G67" s="194">
        <v>2855</v>
      </c>
      <c r="H67" s="281">
        <v>101.93</v>
      </c>
      <c r="I67" s="299">
        <v>1500</v>
      </c>
      <c r="J67" s="185">
        <f ca="1">71.5*K78</f>
        <v>116.20179999999999</v>
      </c>
      <c r="K67" s="204">
        <f ca="1">12*K78</f>
        <v>19.502400000000002</v>
      </c>
      <c r="L67" s="67">
        <f t="shared" ca="1" si="10"/>
        <v>4713.9142000000002</v>
      </c>
      <c r="M67" s="340" t="str">
        <f>B67</f>
        <v>4/5/2026 - 7am</v>
      </c>
      <c r="N67" s="189"/>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row>
    <row r="68" spans="1:78" outlineLevel="1">
      <c r="A68" s="60"/>
      <c r="B68" s="250" t="s">
        <v>524</v>
      </c>
      <c r="C68" s="196">
        <v>68.27</v>
      </c>
      <c r="D68" s="198">
        <v>100</v>
      </c>
      <c r="E68" s="200">
        <v>1</v>
      </c>
      <c r="F68" s="202">
        <v>55</v>
      </c>
      <c r="G68" s="194">
        <v>3615</v>
      </c>
      <c r="H68" s="281">
        <v>52</v>
      </c>
      <c r="I68" s="299">
        <v>1500</v>
      </c>
      <c r="J68" s="185">
        <f ca="1">71.5*K78</f>
        <v>116.20179999999999</v>
      </c>
      <c r="K68" s="204">
        <f ca="1">12*K78</f>
        <v>19.502400000000002</v>
      </c>
      <c r="L68" s="67">
        <f ca="1">SUM(C68:K68)</f>
        <v>5526.9742000000006</v>
      </c>
      <c r="M68" s="340" t="str">
        <f>B68</f>
        <v>6/5/2026 - 7pm</v>
      </c>
      <c r="N68" s="189"/>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row>
    <row r="69" spans="1:78">
      <c r="A69" s="60"/>
      <c r="B69" s="250" t="s">
        <v>563</v>
      </c>
      <c r="C69" s="196">
        <v>122</v>
      </c>
      <c r="D69" s="198">
        <v>50</v>
      </c>
      <c r="E69" s="200">
        <v>1</v>
      </c>
      <c r="F69" s="202">
        <v>151</v>
      </c>
      <c r="G69" s="194">
        <v>4365</v>
      </c>
      <c r="H69" s="281">
        <v>0</v>
      </c>
      <c r="I69" s="299">
        <v>1500</v>
      </c>
      <c r="J69" s="185">
        <f ca="1">71.5*K78</f>
        <v>116.20179999999999</v>
      </c>
      <c r="K69" s="204">
        <f ca="1">12*K78</f>
        <v>19.502400000000002</v>
      </c>
      <c r="L69" s="67">
        <f ca="1">SUM(C69:K69)</f>
        <v>6324.7042000000001</v>
      </c>
      <c r="M69" s="340" t="str">
        <f t="shared" ref="M69:M72" si="11">B69</f>
        <v>13/5/2026 - 8pm</v>
      </c>
      <c r="N69" s="189"/>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row>
    <row r="70" spans="1:78">
      <c r="A70" s="60"/>
      <c r="B70" s="250" t="s">
        <v>568</v>
      </c>
      <c r="C70" s="196">
        <v>17</v>
      </c>
      <c r="D70" s="198">
        <v>0</v>
      </c>
      <c r="E70" s="200">
        <v>0</v>
      </c>
      <c r="F70" s="202">
        <v>289</v>
      </c>
      <c r="G70" s="194">
        <v>4015</v>
      </c>
      <c r="H70" s="281">
        <v>2</v>
      </c>
      <c r="I70" s="299">
        <v>1500</v>
      </c>
      <c r="J70" s="185">
        <f ca="1">71.5*K78</f>
        <v>116.20179999999999</v>
      </c>
      <c r="K70" s="204">
        <f ca="1">12*K78</f>
        <v>19.502400000000002</v>
      </c>
      <c r="L70" s="67">
        <f t="shared" ref="L70:L72" ca="1" si="12">SUM(C70:K70)</f>
        <v>5958.7042000000001</v>
      </c>
      <c r="M70" s="340" t="str">
        <f t="shared" si="11"/>
        <v>17/5/2026 - 7pm</v>
      </c>
      <c r="N70" s="189"/>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row>
    <row r="71" spans="1:78">
      <c r="A71" s="60"/>
      <c r="B71" s="250"/>
      <c r="C71" s="196"/>
      <c r="D71" s="198"/>
      <c r="E71" s="200"/>
      <c r="F71" s="202"/>
      <c r="G71" s="194"/>
      <c r="H71" s="281"/>
      <c r="I71" s="299"/>
      <c r="J71" s="185"/>
      <c r="K71" s="204"/>
      <c r="L71" s="67">
        <f t="shared" si="12"/>
        <v>0</v>
      </c>
      <c r="M71" s="340">
        <f t="shared" si="11"/>
        <v>0</v>
      </c>
      <c r="N71" s="189"/>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row>
    <row r="72" spans="1:78">
      <c r="A72" s="60"/>
      <c r="B72" s="250"/>
      <c r="C72" s="196"/>
      <c r="D72" s="198"/>
      <c r="E72" s="200"/>
      <c r="F72" s="202"/>
      <c r="G72" s="194"/>
      <c r="H72" s="281"/>
      <c r="I72" s="299"/>
      <c r="J72" s="185"/>
      <c r="K72" s="204"/>
      <c r="L72" s="67">
        <f t="shared" si="12"/>
        <v>0</v>
      </c>
      <c r="M72" s="340">
        <f t="shared" si="11"/>
        <v>0</v>
      </c>
      <c r="N72" s="189"/>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row>
    <row r="73" spans="1:78">
      <c r="A73" s="60"/>
      <c r="B73" s="250"/>
      <c r="C73" s="196"/>
      <c r="D73" s="198"/>
      <c r="E73" s="200"/>
      <c r="F73" s="202"/>
      <c r="G73" s="194"/>
      <c r="H73" s="281"/>
      <c r="I73" s="299"/>
      <c r="J73" s="185"/>
      <c r="K73" s="204"/>
      <c r="L73" s="67">
        <f t="shared" si="10"/>
        <v>0</v>
      </c>
      <c r="M73" s="340">
        <f>B73</f>
        <v>0</v>
      </c>
      <c r="N73" s="189"/>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row>
    <row r="74" spans="1:78">
      <c r="A74" s="60"/>
      <c r="B74" s="68" t="s">
        <v>344</v>
      </c>
      <c r="C74" s="527">
        <f>C70</f>
        <v>17</v>
      </c>
      <c r="D74" s="527">
        <f t="shared" ref="D74:K74" si="13">D70</f>
        <v>0</v>
      </c>
      <c r="E74" s="527">
        <f t="shared" si="13"/>
        <v>0</v>
      </c>
      <c r="F74" s="527">
        <f t="shared" si="13"/>
        <v>289</v>
      </c>
      <c r="G74" s="527">
        <f t="shared" si="13"/>
        <v>4015</v>
      </c>
      <c r="H74" s="527">
        <f t="shared" si="13"/>
        <v>2</v>
      </c>
      <c r="I74" s="527">
        <f t="shared" si="13"/>
        <v>1500</v>
      </c>
      <c r="J74" s="527">
        <f ca="1">J70</f>
        <v>116.20179999999999</v>
      </c>
      <c r="K74" s="527">
        <f t="shared" ca="1" si="13"/>
        <v>19.502400000000002</v>
      </c>
      <c r="L74" s="67">
        <f ca="1">SUM(C74:K74)</f>
        <v>5958.7042000000001</v>
      </c>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row>
    <row r="75" spans="1:78">
      <c r="A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row>
    <row r="76" spans="1:78" ht="18">
      <c r="A76" s="60"/>
      <c r="B76" s="596" t="s">
        <v>346</v>
      </c>
      <c r="C76" s="597"/>
      <c r="I76" s="190" t="s">
        <v>95</v>
      </c>
      <c r="J76" s="191"/>
      <c r="K76" s="192"/>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row>
    <row r="77" spans="1:78">
      <c r="A77" s="60"/>
      <c r="B77" s="109" t="s">
        <v>296</v>
      </c>
      <c r="C77" s="343">
        <f ca="1">SUM(C78:C85)</f>
        <v>5669.7042000000001</v>
      </c>
      <c r="I77" s="57" t="e" vm="1">
        <v>#VALUE!</v>
      </c>
      <c r="J77" s="57" t="s">
        <v>96</v>
      </c>
      <c r="K77" s="57" t="s">
        <v>97</v>
      </c>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row>
    <row r="78" spans="1:78">
      <c r="A78" s="60"/>
      <c r="B78" s="212" t="str">
        <f>C49</f>
        <v>Choice</v>
      </c>
      <c r="C78" s="218">
        <f>C74</f>
        <v>17</v>
      </c>
      <c r="I78" s="60"/>
      <c r="J78" s="55">
        <v>1</v>
      </c>
      <c r="K78" s="59" cm="1">
        <f t="array" aca="1" ref="K78" ca="1">_xlfn.FIELDVALUE(I77,"Price")</f>
        <v>1.6252</v>
      </c>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row>
    <row r="79" spans="1:78">
      <c r="A79" s="60"/>
      <c r="B79" s="213" t="str">
        <f>D49</f>
        <v>eSaver</v>
      </c>
      <c r="C79" s="219">
        <f>D74</f>
        <v>0</v>
      </c>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row>
    <row r="80" spans="1:78">
      <c r="A80" s="60"/>
      <c r="B80" s="214" t="str">
        <f>E49</f>
        <v>Daily Spending Acc</v>
      </c>
      <c r="C80" s="220">
        <f>E74</f>
        <v>0</v>
      </c>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row>
    <row r="81" spans="1:78">
      <c r="A81" s="60"/>
      <c r="B81" s="215" t="str">
        <f>G49</f>
        <v>Planned Expenses Acc</v>
      </c>
      <c r="C81" s="221">
        <f>G74</f>
        <v>4015</v>
      </c>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row>
    <row r="82" spans="1:78">
      <c r="A82" s="60"/>
      <c r="B82" s="216" t="str">
        <f>H49</f>
        <v>Investing Cash Acc</v>
      </c>
      <c r="C82" s="222">
        <f>H74</f>
        <v>2</v>
      </c>
      <c r="D82" s="60"/>
      <c r="E82" s="60"/>
      <c r="F82" s="60"/>
      <c r="G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0"/>
      <c r="BZ82" s="60"/>
    </row>
    <row r="83" spans="1:78">
      <c r="A83" s="60"/>
      <c r="B83" s="300" t="str">
        <f>I49</f>
        <v>Emergency Fund Acc</v>
      </c>
      <c r="C83" s="301">
        <f>I74</f>
        <v>1500</v>
      </c>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0"/>
      <c r="BZ83" s="60"/>
    </row>
    <row r="84" spans="1:78">
      <c r="A84" s="60"/>
      <c r="B84" s="290" t="s">
        <v>297</v>
      </c>
      <c r="C84" s="293">
        <f ca="1">J74</f>
        <v>116.20179999999999</v>
      </c>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0"/>
      <c r="BZ84" s="60"/>
    </row>
    <row r="85" spans="1:78">
      <c r="A85" s="60"/>
      <c r="B85" s="217" t="s">
        <v>87</v>
      </c>
      <c r="C85" s="223">
        <f ca="1">K74</f>
        <v>19.502400000000002</v>
      </c>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c r="BZ85" s="60"/>
    </row>
    <row r="86" spans="1:78">
      <c r="A86" s="60"/>
      <c r="B86" s="211" t="s">
        <v>218</v>
      </c>
      <c r="C86" s="224">
        <f ca="1">SUM(C87:C90)</f>
        <v>872.22530533052009</v>
      </c>
      <c r="D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0"/>
      <c r="BZ86" s="60"/>
    </row>
    <row r="87" spans="1:78">
      <c r="A87" s="60"/>
      <c r="B87" s="291" t="s">
        <v>309</v>
      </c>
      <c r="C87" s="292">
        <f ca="1">Investing!C31</f>
        <v>330.21314416252</v>
      </c>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c r="BZ87" s="60"/>
    </row>
    <row r="88" spans="1:78">
      <c r="A88" s="60"/>
      <c r="B88" s="337" t="s">
        <v>556</v>
      </c>
      <c r="C88" s="338">
        <f ca="1">SUM(Investing!I17,Investing!O17)</f>
        <v>420.07129199999997</v>
      </c>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0"/>
      <c r="BZ88" s="60"/>
    </row>
    <row r="89" spans="1:78">
      <c r="A89" s="60"/>
      <c r="B89" s="325" t="s">
        <v>452</v>
      </c>
      <c r="C89" s="326">
        <v>28</v>
      </c>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c r="BZ89" s="60"/>
    </row>
    <row r="90" spans="1:78">
      <c r="A90" s="60"/>
      <c r="B90" s="561" t="s">
        <v>557</v>
      </c>
      <c r="C90" s="562">
        <f ca="1">Investing!AA11</f>
        <v>93.940869168000006</v>
      </c>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c r="BZ90" s="60"/>
    </row>
    <row r="91" spans="1:78">
      <c r="A91" s="60"/>
      <c r="B91" s="563" t="s">
        <v>551</v>
      </c>
      <c r="C91" s="565">
        <f>SUM(C92:C92)</f>
        <v>7362.52</v>
      </c>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row>
    <row r="92" spans="1:78">
      <c r="A92" s="60"/>
      <c r="B92" s="564" t="s">
        <v>259</v>
      </c>
      <c r="C92" s="566">
        <v>7362.52</v>
      </c>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60"/>
    </row>
    <row r="93" spans="1:78">
      <c r="A93" s="60"/>
      <c r="B93" s="573" t="s">
        <v>552</v>
      </c>
      <c r="C93" s="574">
        <f ca="1">SUM(C77,C86)</f>
        <v>6541.9295053305204</v>
      </c>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0"/>
      <c r="BZ93" s="60"/>
    </row>
    <row r="94" spans="1:78">
      <c r="A94" s="60"/>
      <c r="B94" s="575" t="s">
        <v>301</v>
      </c>
      <c r="C94" s="576">
        <f ca="1">SUM(C91,C93)</f>
        <v>13904.449505330522</v>
      </c>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c r="BZ94" s="60"/>
    </row>
    <row r="95" spans="1:78">
      <c r="A95" s="60"/>
      <c r="D95" s="60"/>
      <c r="E95" s="60"/>
      <c r="F95" s="60"/>
      <c r="G95" s="60"/>
      <c r="H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row>
    <row r="96" spans="1:78">
      <c r="A96" s="60"/>
      <c r="B96" s="60"/>
      <c r="C96" s="60"/>
      <c r="D96" s="60"/>
      <c r="E96" s="60"/>
      <c r="F96" s="60"/>
      <c r="G96" s="60"/>
      <c r="H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0"/>
      <c r="BZ96" s="60"/>
    </row>
    <row r="97" spans="1:78" ht="18">
      <c r="A97" s="60"/>
      <c r="B97" s="593" t="s">
        <v>454</v>
      </c>
      <c r="C97" s="594"/>
      <c r="D97" s="595"/>
      <c r="F97" s="60"/>
      <c r="G97" s="60"/>
      <c r="H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row>
    <row r="98" spans="1:78">
      <c r="A98" s="60"/>
      <c r="B98" s="109" t="s">
        <v>558</v>
      </c>
      <c r="C98" s="342">
        <f ca="1">SUM(C78,C84,C80)</f>
        <v>133.20179999999999</v>
      </c>
      <c r="D98" s="587">
        <f ca="1">(C98/C103)</f>
        <v>9.5811748820901904E-3</v>
      </c>
      <c r="E98" s="60"/>
      <c r="F98" s="60"/>
      <c r="G98" s="60"/>
      <c r="H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0"/>
      <c r="BZ98" s="60"/>
    </row>
    <row r="99" spans="1:78">
      <c r="A99" s="60"/>
      <c r="B99" s="109" t="s">
        <v>455</v>
      </c>
      <c r="C99" s="342">
        <f>SUM(C81)</f>
        <v>4015</v>
      </c>
      <c r="D99" s="587">
        <f ca="1">(C99/C103)</f>
        <v>0.28879802789145581</v>
      </c>
      <c r="E99" s="60"/>
      <c r="F99" s="60"/>
      <c r="G99" s="60"/>
      <c r="H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row>
    <row r="100" spans="1:78">
      <c r="A100" s="60"/>
      <c r="B100" s="109" t="s">
        <v>224</v>
      </c>
      <c r="C100" s="342">
        <f ca="1">SUM(C79,C83,C85)</f>
        <v>1519.5024000000001</v>
      </c>
      <c r="D100" s="587">
        <f ca="1">(C100/C103)</f>
        <v>0.10929745865413053</v>
      </c>
      <c r="E100" s="60"/>
      <c r="F100" s="60"/>
      <c r="G100" s="60"/>
      <c r="H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0"/>
      <c r="BZ100" s="60"/>
    </row>
    <row r="101" spans="1:78">
      <c r="A101" s="60"/>
      <c r="B101" s="568" t="s">
        <v>218</v>
      </c>
      <c r="C101" s="569">
        <f ca="1">SUM(C87:C90)</f>
        <v>872.22530533052009</v>
      </c>
      <c r="D101" s="587">
        <f ca="1">(C101/C103)</f>
        <v>6.2738965892024184E-2</v>
      </c>
      <c r="E101" s="60"/>
      <c r="F101" s="60"/>
      <c r="G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row>
    <row r="102" spans="1:78">
      <c r="A102" s="60"/>
      <c r="B102" s="571" t="s">
        <v>551</v>
      </c>
      <c r="C102" s="572">
        <f>C92</f>
        <v>7362.52</v>
      </c>
      <c r="D102" s="587">
        <f ca="1">(C102/C103)</f>
        <v>0.52958437268029923</v>
      </c>
      <c r="E102" s="60"/>
      <c r="F102" s="60"/>
      <c r="G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0"/>
      <c r="BZ102" s="60"/>
    </row>
    <row r="103" spans="1:78">
      <c r="A103" s="60"/>
      <c r="B103" s="570" t="s">
        <v>32</v>
      </c>
      <c r="C103" s="567">
        <f ca="1">SUM(C98:C102)</f>
        <v>13902.449505330522</v>
      </c>
      <c r="D103" s="588">
        <f ca="1">SUM(D98:D102)</f>
        <v>1</v>
      </c>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row>
    <row r="104" spans="1:78">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0"/>
      <c r="BZ104" s="60"/>
    </row>
    <row r="105" spans="1:78">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row>
    <row r="106" spans="1:78">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row>
    <row r="107" spans="1:78">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0"/>
    </row>
    <row r="108" spans="1:7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0"/>
      <c r="BZ108" s="60"/>
    </row>
    <row r="109" spans="1:78">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0"/>
    </row>
    <row r="110" spans="1:78">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0"/>
    </row>
    <row r="111" spans="1:78">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0"/>
    </row>
    <row r="112" spans="1:78">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0"/>
      <c r="BZ112" s="60"/>
    </row>
    <row r="113" spans="1:78">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0"/>
      <c r="BX113" s="60"/>
      <c r="BY113" s="60"/>
      <c r="BZ113" s="60"/>
    </row>
    <row r="114" spans="1:78">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0"/>
      <c r="BZ114" s="60"/>
    </row>
    <row r="115" spans="1:78">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0"/>
    </row>
    <row r="116" spans="1:78">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0"/>
      <c r="BX116" s="60"/>
      <c r="BY116" s="60"/>
      <c r="BZ116" s="60"/>
    </row>
    <row r="117" spans="1:78">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0"/>
      <c r="BZ117" s="60"/>
    </row>
    <row r="118" spans="1:7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0"/>
      <c r="BZ118" s="60"/>
    </row>
    <row r="119" spans="1:78">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row>
    <row r="120" spans="1:78">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0"/>
      <c r="BZ120" s="60"/>
    </row>
    <row r="121" spans="1:78">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0"/>
      <c r="BZ121" s="60"/>
    </row>
    <row r="122" spans="1:78">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row>
    <row r="123" spans="1:78">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0"/>
      <c r="BZ123" s="60"/>
    </row>
    <row r="124" spans="1:78">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row>
    <row r="125" spans="1:78">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0"/>
      <c r="BX125" s="60"/>
      <c r="BY125" s="60"/>
      <c r="BZ125" s="60"/>
    </row>
    <row r="126" spans="1:78">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row>
    <row r="127" spans="1:78">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row>
    <row r="128" spans="1:7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0"/>
      <c r="BZ128" s="60"/>
    </row>
    <row r="129" spans="1:78">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row>
    <row r="130" spans="1:78">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row>
    <row r="131" spans="1:78">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row>
    <row r="132" spans="1:78">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0"/>
      <c r="BX132" s="60"/>
      <c r="BY132" s="60"/>
      <c r="BZ132" s="60"/>
    </row>
    <row r="133" spans="1:78">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0"/>
      <c r="BX133" s="60"/>
      <c r="BY133" s="60"/>
      <c r="BZ133" s="60"/>
    </row>
    <row r="134" spans="1:78">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0"/>
      <c r="BZ134" s="60"/>
    </row>
    <row r="135" spans="1:78">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0"/>
      <c r="BX135" s="60"/>
      <c r="BY135" s="60"/>
      <c r="BZ135" s="60"/>
    </row>
    <row r="136" spans="1:78">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0"/>
      <c r="BZ136" s="60"/>
    </row>
    <row r="137" spans="1:78">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0"/>
      <c r="BZ137" s="60"/>
    </row>
    <row r="138" spans="1:7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row>
    <row r="139" spans="1:78">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0"/>
      <c r="BX139" s="60"/>
      <c r="BY139" s="60"/>
      <c r="BZ139" s="60"/>
    </row>
    <row r="140" spans="1:78">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0"/>
      <c r="BX140" s="60"/>
      <c r="BY140" s="60"/>
      <c r="BZ140" s="60"/>
    </row>
    <row r="141" spans="1:78">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0"/>
      <c r="BZ141" s="60"/>
    </row>
    <row r="142" spans="1:78">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0"/>
      <c r="BZ142" s="60"/>
    </row>
    <row r="143" spans="1:78">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row>
    <row r="144" spans="1:78">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X144" s="60"/>
      <c r="BY144" s="60"/>
      <c r="BZ144" s="60"/>
    </row>
    <row r="145" spans="1:78">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X145" s="60"/>
      <c r="BY145" s="60"/>
      <c r="BZ145" s="60"/>
    </row>
    <row r="146" spans="1:78">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row>
    <row r="147" spans="1:78">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0"/>
      <c r="BZ147" s="60"/>
    </row>
    <row r="148" spans="1:7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row>
    <row r="149" spans="1:78">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0"/>
      <c r="BZ149" s="60"/>
    </row>
    <row r="150" spans="1:78">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row>
    <row r="151" spans="1:78">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row>
    <row r="152" spans="1:78">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row>
    <row r="153" spans="1:78">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row>
    <row r="154" spans="1:78">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row>
    <row r="155" spans="1:78">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row>
    <row r="156" spans="1:78">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row>
    <row r="157" spans="1:78">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row>
    <row r="158" spans="1:7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0"/>
    </row>
    <row r="159" spans="1:78">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0"/>
    </row>
    <row r="160" spans="1:78">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0"/>
    </row>
    <row r="161" spans="1:78">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0"/>
    </row>
    <row r="162" spans="1:78">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0"/>
      <c r="BZ162" s="60"/>
    </row>
    <row r="163" spans="1:78">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0"/>
      <c r="BZ163" s="60"/>
    </row>
    <row r="164" spans="1:78">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0"/>
    </row>
    <row r="165" spans="1:78">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0"/>
      <c r="BZ165" s="60"/>
    </row>
    <row r="166" spans="1:78">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0"/>
      <c r="BZ166" s="60"/>
    </row>
    <row r="167" spans="1:78">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c r="BY167" s="60"/>
      <c r="BZ167" s="60"/>
    </row>
    <row r="168" spans="1:7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c r="BY168" s="60"/>
      <c r="BZ168" s="60"/>
    </row>
    <row r="169" spans="1:78">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0"/>
      <c r="BX169" s="60"/>
      <c r="BY169" s="60"/>
      <c r="BZ169" s="60"/>
    </row>
    <row r="170" spans="1:78">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c r="BY170" s="60"/>
      <c r="BZ170" s="60"/>
    </row>
    <row r="171" spans="1:78">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c r="BY171" s="60"/>
      <c r="BZ171" s="60"/>
    </row>
    <row r="172" spans="1:78">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0"/>
      <c r="BX172" s="60"/>
      <c r="BY172" s="60"/>
      <c r="BZ172" s="60"/>
    </row>
  </sheetData>
  <dataConsolidate/>
  <mergeCells count="15">
    <mergeCell ref="M7:O7"/>
    <mergeCell ref="M3:T3"/>
    <mergeCell ref="B97:D97"/>
    <mergeCell ref="B76:C76"/>
    <mergeCell ref="B20:K20"/>
    <mergeCell ref="C48:D48"/>
    <mergeCell ref="B3:K3"/>
    <mergeCell ref="B30:J30"/>
    <mergeCell ref="E48:I48"/>
    <mergeCell ref="J48:K48"/>
    <mergeCell ref="B47:L47"/>
    <mergeCell ref="C31:D31"/>
    <mergeCell ref="E31:F31"/>
    <mergeCell ref="G31:H31"/>
    <mergeCell ref="I31:J31"/>
  </mergeCells>
  <conditionalFormatting sqref="I5:I14">
    <cfRule type="cellIs" dxfId="143" priority="113" operator="lessThan">
      <formula>$K$17</formula>
    </cfRule>
    <cfRule type="cellIs" dxfId="142" priority="114" operator="equal">
      <formula>$K$17</formula>
    </cfRule>
    <cfRule type="cellIs" dxfId="141" priority="115" operator="greaterThan">
      <formula>$K$17</formula>
    </cfRule>
  </conditionalFormatting>
  <conditionalFormatting sqref="J5:J14">
    <cfRule type="cellIs" dxfId="140" priority="1" operator="greaterThanOrEqual">
      <formula>2</formula>
    </cfRule>
    <cfRule type="cellIs" dxfId="139" priority="2" operator="equal">
      <formula>1</formula>
    </cfRule>
    <cfRule type="cellIs" dxfId="138" priority="3" operator="equal">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DE3B-E68B-6747-80CD-B3831265984F}">
  <dimension ref="A1:AP624"/>
  <sheetViews>
    <sheetView topLeftCell="A360" zoomScale="85" zoomScaleNormal="40" workbookViewId="0">
      <selection activeCell="C563" sqref="C563"/>
    </sheetView>
  </sheetViews>
  <sheetFormatPr baseColWidth="10" defaultColWidth="10.83203125" defaultRowHeight="16" outlineLevelRow="1" outlineLevelCol="1"/>
  <cols>
    <col min="1" max="1" width="18.83203125" customWidth="1" outlineLevel="1"/>
    <col min="2" max="2" width="30.1640625" customWidth="1"/>
    <col min="3" max="3" width="15.33203125" bestFit="1" customWidth="1"/>
    <col min="4" max="4" width="53.5" bestFit="1" customWidth="1"/>
    <col min="5" max="5" width="22.83203125" bestFit="1" customWidth="1"/>
    <col min="6" max="6" width="27.5" bestFit="1" customWidth="1"/>
    <col min="7" max="7" width="32" bestFit="1" customWidth="1"/>
    <col min="8" max="8" width="17.1640625" bestFit="1" customWidth="1"/>
    <col min="9" max="9" width="32.6640625" bestFit="1" customWidth="1"/>
    <col min="10" max="10" width="24.33203125" bestFit="1" customWidth="1"/>
    <col min="11" max="11" width="24.5" bestFit="1" customWidth="1"/>
    <col min="12" max="12" width="27.6640625" bestFit="1" customWidth="1"/>
    <col min="13" max="13" width="34.6640625" bestFit="1" customWidth="1"/>
    <col min="14" max="14" width="16.6640625" customWidth="1" outlineLevel="1"/>
    <col min="15" max="15" width="19.33203125" customWidth="1" outlineLevel="1"/>
    <col min="16" max="16" width="19.5" customWidth="1" outlineLevel="1"/>
    <col min="17" max="17" width="14.83203125" customWidth="1" outlineLevel="1"/>
    <col min="18" max="18" width="19.6640625" customWidth="1" outlineLevel="1"/>
    <col min="19" max="19" width="18.83203125" customWidth="1" outlineLevel="1"/>
    <col min="20" max="20" width="12.83203125" customWidth="1" outlineLevel="1"/>
  </cols>
  <sheetData>
    <row r="1" spans="1:42">
      <c r="A1" s="60"/>
      <c r="B1" s="60"/>
      <c r="C1" s="60"/>
      <c r="D1" s="60"/>
      <c r="E1" s="60"/>
      <c r="F1" s="60"/>
      <c r="G1" s="60"/>
      <c r="H1" s="60"/>
      <c r="I1" s="60"/>
      <c r="J1" s="60"/>
      <c r="K1" s="60"/>
      <c r="L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row>
    <row r="2" spans="1:42" ht="18" customHeight="1">
      <c r="A2" s="60"/>
      <c r="B2" s="628" t="s">
        <v>221</v>
      </c>
      <c r="C2" s="612"/>
      <c r="D2" s="612"/>
      <c r="E2" s="612"/>
      <c r="F2" s="612"/>
      <c r="G2" s="612"/>
      <c r="H2" s="612"/>
      <c r="I2" s="613"/>
      <c r="J2" s="353"/>
      <c r="K2" s="353"/>
      <c r="L2" s="353"/>
      <c r="S2" s="60"/>
      <c r="T2" s="60"/>
      <c r="U2" s="60"/>
      <c r="V2" s="60"/>
      <c r="W2" s="60"/>
      <c r="X2" s="60"/>
      <c r="Y2" s="60"/>
      <c r="Z2" s="60"/>
      <c r="AA2" s="60"/>
      <c r="AB2" s="60"/>
      <c r="AC2" s="60"/>
      <c r="AD2" s="60"/>
      <c r="AE2" s="60"/>
      <c r="AF2" s="60"/>
      <c r="AG2" s="60"/>
      <c r="AH2" s="60"/>
      <c r="AI2" s="60"/>
      <c r="AJ2" s="60"/>
      <c r="AK2" s="60"/>
      <c r="AL2" s="60"/>
      <c r="AM2" s="60"/>
      <c r="AN2" s="60"/>
      <c r="AO2" s="60"/>
      <c r="AP2" s="60"/>
    </row>
    <row r="3" spans="1:42" ht="18" customHeight="1">
      <c r="A3" s="60"/>
      <c r="B3" s="375" t="s">
        <v>195</v>
      </c>
      <c r="C3" s="375" t="s">
        <v>196</v>
      </c>
      <c r="D3" s="375" t="s">
        <v>200</v>
      </c>
      <c r="E3" s="375" t="s">
        <v>475</v>
      </c>
      <c r="F3" s="375" t="s">
        <v>197</v>
      </c>
      <c r="G3" s="375" t="s">
        <v>198</v>
      </c>
      <c r="H3" s="375" t="s">
        <v>199</v>
      </c>
      <c r="I3" s="375" t="s">
        <v>223</v>
      </c>
      <c r="J3" s="354"/>
      <c r="K3" s="354"/>
      <c r="L3" s="354"/>
      <c r="N3" s="344" t="s">
        <v>483</v>
      </c>
      <c r="O3" s="344" t="s">
        <v>484</v>
      </c>
      <c r="P3" s="344" t="s">
        <v>485</v>
      </c>
      <c r="Q3" s="344" t="s">
        <v>486</v>
      </c>
      <c r="R3" s="344" t="s">
        <v>487</v>
      </c>
      <c r="S3" s="345" t="s">
        <v>488</v>
      </c>
      <c r="T3" s="345" t="s">
        <v>490</v>
      </c>
      <c r="U3" s="60"/>
      <c r="V3" s="60"/>
      <c r="W3" s="60"/>
      <c r="X3" s="60"/>
      <c r="Y3" s="60"/>
      <c r="Z3" s="60"/>
      <c r="AA3" s="60"/>
      <c r="AB3" s="60"/>
      <c r="AC3" s="60"/>
      <c r="AD3" s="60"/>
      <c r="AE3" s="60"/>
      <c r="AF3" s="60"/>
      <c r="AG3" s="60"/>
      <c r="AH3" s="60"/>
      <c r="AI3" s="60"/>
      <c r="AJ3" s="60"/>
      <c r="AK3" s="60"/>
      <c r="AL3" s="60"/>
      <c r="AM3" s="60"/>
      <c r="AN3" s="60"/>
      <c r="AO3" s="60"/>
      <c r="AP3" s="60"/>
    </row>
    <row r="4" spans="1:42" ht="18" customHeight="1" outlineLevel="1">
      <c r="A4" s="60" t="s">
        <v>98</v>
      </c>
      <c r="B4" s="623" t="s">
        <v>98</v>
      </c>
      <c r="C4" s="376">
        <v>46049</v>
      </c>
      <c r="D4" s="377" t="s">
        <v>204</v>
      </c>
      <c r="E4" s="377" t="s">
        <v>207</v>
      </c>
      <c r="F4" s="377" t="s">
        <v>208</v>
      </c>
      <c r="G4" s="377" t="s">
        <v>209</v>
      </c>
      <c r="H4" s="378">
        <v>1316.75</v>
      </c>
      <c r="I4" s="377" t="s">
        <v>215</v>
      </c>
      <c r="J4" s="355"/>
      <c r="K4" s="355"/>
      <c r="L4" s="355"/>
      <c r="N4" s="346">
        <f t="shared" ref="N4:N69" si="0">IF(OR(E4="Personal Expense",E4="Recurring Expense"),H4,0)</f>
        <v>0</v>
      </c>
      <c r="O4" s="346">
        <f t="shared" ref="O4:O69" si="1">IF(E4="Internal Transfer",H4,0)</f>
        <v>0</v>
      </c>
      <c r="P4" s="346">
        <f t="shared" ref="P4:P69" si="2">IF(E4="Saving Allocation",H4,0)</f>
        <v>0</v>
      </c>
      <c r="Q4" s="346">
        <f t="shared" ref="Q4:Q69" si="3">IF(E4="Investment",H4,0)</f>
        <v>0</v>
      </c>
      <c r="R4" s="346">
        <f t="shared" ref="R4:R69" si="4">IF(E4="Debt Repayment",H4,0)</f>
        <v>0</v>
      </c>
      <c r="S4" s="347">
        <f t="shared" ref="S4:S69" si="5">IF(E4="Joint Account",H4,0)</f>
        <v>0</v>
      </c>
      <c r="T4" s="347">
        <f t="shared" ref="T4:T69" si="6">IF(E4="Income",H4,0)</f>
        <v>1316.75</v>
      </c>
      <c r="U4" s="60"/>
      <c r="V4" s="60"/>
      <c r="W4" s="60"/>
      <c r="X4" s="60"/>
      <c r="Y4" s="60"/>
      <c r="Z4" s="60"/>
      <c r="AA4" s="60"/>
      <c r="AB4" s="60"/>
      <c r="AC4" s="60"/>
      <c r="AD4" s="60"/>
      <c r="AE4" s="60"/>
      <c r="AF4" s="60"/>
      <c r="AG4" s="60"/>
      <c r="AH4" s="60"/>
      <c r="AI4" s="60"/>
      <c r="AJ4" s="60"/>
      <c r="AK4" s="60"/>
      <c r="AL4" s="60"/>
      <c r="AM4" s="60"/>
      <c r="AN4" s="60"/>
      <c r="AO4" s="60"/>
      <c r="AP4" s="60"/>
    </row>
    <row r="5" spans="1:42" ht="18" customHeight="1" outlineLevel="1">
      <c r="A5" s="60" t="s">
        <v>98</v>
      </c>
      <c r="B5" s="627"/>
      <c r="C5" s="379">
        <v>46049</v>
      </c>
      <c r="D5" s="379" t="s">
        <v>100</v>
      </c>
      <c r="E5" s="380" t="s">
        <v>503</v>
      </c>
      <c r="F5" s="380" t="s">
        <v>209</v>
      </c>
      <c r="G5" s="380" t="s">
        <v>210</v>
      </c>
      <c r="H5" s="381">
        <v>150</v>
      </c>
      <c r="I5" s="380" t="s">
        <v>34</v>
      </c>
      <c r="J5" s="355"/>
      <c r="K5" s="355"/>
      <c r="L5" s="355"/>
      <c r="N5" s="346">
        <f t="shared" si="0"/>
        <v>150</v>
      </c>
      <c r="O5" s="346">
        <f t="shared" si="1"/>
        <v>0</v>
      </c>
      <c r="P5" s="346">
        <f t="shared" si="2"/>
        <v>0</v>
      </c>
      <c r="Q5" s="346">
        <f t="shared" si="3"/>
        <v>0</v>
      </c>
      <c r="R5" s="346">
        <f t="shared" si="4"/>
        <v>0</v>
      </c>
      <c r="S5" s="347">
        <f t="shared" si="5"/>
        <v>0</v>
      </c>
      <c r="T5" s="347">
        <f t="shared" si="6"/>
        <v>0</v>
      </c>
      <c r="U5" s="60"/>
      <c r="V5" s="60"/>
      <c r="W5" s="60"/>
      <c r="X5" s="60"/>
      <c r="Y5" s="60"/>
      <c r="Z5" s="60"/>
      <c r="AA5" s="60"/>
      <c r="AB5" s="60"/>
      <c r="AC5" s="60"/>
      <c r="AD5" s="60"/>
      <c r="AE5" s="60"/>
      <c r="AF5" s="60"/>
      <c r="AG5" s="60"/>
      <c r="AH5" s="60"/>
      <c r="AI5" s="60"/>
      <c r="AJ5" s="60"/>
      <c r="AK5" s="60"/>
      <c r="AL5" s="60"/>
      <c r="AM5" s="60"/>
      <c r="AN5" s="60"/>
      <c r="AO5" s="60"/>
      <c r="AP5" s="60"/>
    </row>
    <row r="6" spans="1:42" ht="18" customHeight="1" outlineLevel="1">
      <c r="A6" s="60" t="s">
        <v>98</v>
      </c>
      <c r="B6" s="627"/>
      <c r="C6" s="379">
        <v>46049</v>
      </c>
      <c r="D6" s="379" t="s">
        <v>201</v>
      </c>
      <c r="E6" s="380" t="s">
        <v>205</v>
      </c>
      <c r="F6" s="380" t="s">
        <v>209</v>
      </c>
      <c r="G6" s="380" t="s">
        <v>210</v>
      </c>
      <c r="H6" s="381">
        <v>375</v>
      </c>
      <c r="I6" s="380" t="s">
        <v>217</v>
      </c>
      <c r="J6" s="355"/>
      <c r="K6" s="355"/>
      <c r="L6" s="355"/>
      <c r="N6" s="346">
        <f t="shared" si="0"/>
        <v>0</v>
      </c>
      <c r="O6" s="346">
        <f t="shared" si="1"/>
        <v>0</v>
      </c>
      <c r="P6" s="346">
        <f t="shared" si="2"/>
        <v>0</v>
      </c>
      <c r="Q6" s="346">
        <f t="shared" si="3"/>
        <v>0</v>
      </c>
      <c r="R6" s="346">
        <f t="shared" si="4"/>
        <v>375</v>
      </c>
      <c r="S6" s="347">
        <f t="shared" si="5"/>
        <v>0</v>
      </c>
      <c r="T6" s="347">
        <f t="shared" si="6"/>
        <v>0</v>
      </c>
      <c r="U6" s="60"/>
      <c r="V6" s="60"/>
      <c r="W6" s="60"/>
      <c r="X6" s="60"/>
      <c r="Y6" s="60"/>
      <c r="Z6" s="60"/>
      <c r="AA6" s="60"/>
      <c r="AB6" s="60"/>
      <c r="AC6" s="60"/>
      <c r="AD6" s="60"/>
      <c r="AE6" s="60"/>
      <c r="AF6" s="60"/>
      <c r="AG6" s="60"/>
      <c r="AH6" s="60"/>
      <c r="AI6" s="60"/>
      <c r="AJ6" s="60"/>
      <c r="AK6" s="60"/>
      <c r="AL6" s="60"/>
      <c r="AM6" s="60"/>
      <c r="AN6" s="60"/>
      <c r="AO6" s="60"/>
      <c r="AP6" s="60"/>
    </row>
    <row r="7" spans="1:42" ht="18" customHeight="1" outlineLevel="1">
      <c r="A7" s="60" t="s">
        <v>98</v>
      </c>
      <c r="B7" s="627"/>
      <c r="C7" s="379">
        <v>46049</v>
      </c>
      <c r="D7" s="379" t="s">
        <v>202</v>
      </c>
      <c r="E7" s="380" t="s">
        <v>211</v>
      </c>
      <c r="F7" s="380" t="s">
        <v>209</v>
      </c>
      <c r="G7" s="380" t="s">
        <v>211</v>
      </c>
      <c r="H7" s="381">
        <v>200</v>
      </c>
      <c r="I7" s="380" t="s">
        <v>216</v>
      </c>
      <c r="J7" s="355"/>
      <c r="K7" s="355"/>
      <c r="L7" s="355"/>
      <c r="N7" s="346">
        <f t="shared" si="0"/>
        <v>0</v>
      </c>
      <c r="O7" s="346">
        <f t="shared" si="1"/>
        <v>0</v>
      </c>
      <c r="P7" s="346">
        <f t="shared" si="2"/>
        <v>0</v>
      </c>
      <c r="Q7" s="346">
        <f t="shared" si="3"/>
        <v>0</v>
      </c>
      <c r="R7" s="346">
        <f t="shared" si="4"/>
        <v>0</v>
      </c>
      <c r="S7" s="347">
        <f t="shared" si="5"/>
        <v>200</v>
      </c>
      <c r="T7" s="347">
        <f t="shared" si="6"/>
        <v>0</v>
      </c>
      <c r="U7" s="60"/>
      <c r="V7" s="60"/>
      <c r="W7" s="60"/>
      <c r="X7" s="60"/>
      <c r="Y7" s="60"/>
      <c r="Z7" s="60"/>
      <c r="AA7" s="60"/>
      <c r="AB7" s="60"/>
      <c r="AC7" s="60"/>
      <c r="AD7" s="60"/>
      <c r="AE7" s="60"/>
      <c r="AF7" s="60"/>
      <c r="AG7" s="60"/>
      <c r="AH7" s="60"/>
      <c r="AI7" s="60"/>
      <c r="AJ7" s="60"/>
      <c r="AK7" s="60"/>
      <c r="AL7" s="60"/>
      <c r="AM7" s="60"/>
      <c r="AN7" s="60"/>
      <c r="AO7" s="60"/>
      <c r="AP7" s="60"/>
    </row>
    <row r="8" spans="1:42" ht="18" customHeight="1" outlineLevel="1">
      <c r="A8" s="60" t="s">
        <v>98</v>
      </c>
      <c r="B8" s="627"/>
      <c r="C8" s="379">
        <v>46049</v>
      </c>
      <c r="D8" s="379" t="s">
        <v>203</v>
      </c>
      <c r="E8" s="380" t="s">
        <v>218</v>
      </c>
      <c r="F8" s="380" t="s">
        <v>209</v>
      </c>
      <c r="G8" s="380" t="s">
        <v>212</v>
      </c>
      <c r="H8" s="381">
        <v>15</v>
      </c>
      <c r="I8" s="380" t="s">
        <v>218</v>
      </c>
      <c r="J8" s="355"/>
      <c r="K8" s="355"/>
      <c r="L8" s="355"/>
      <c r="N8" s="346">
        <f t="shared" si="0"/>
        <v>0</v>
      </c>
      <c r="O8" s="346">
        <f t="shared" si="1"/>
        <v>0</v>
      </c>
      <c r="P8" s="346">
        <f t="shared" si="2"/>
        <v>0</v>
      </c>
      <c r="Q8" s="346">
        <f t="shared" si="3"/>
        <v>15</v>
      </c>
      <c r="R8" s="346">
        <f t="shared" si="4"/>
        <v>0</v>
      </c>
      <c r="S8" s="347">
        <f t="shared" si="5"/>
        <v>0</v>
      </c>
      <c r="T8" s="347">
        <f t="shared" si="6"/>
        <v>0</v>
      </c>
      <c r="U8" s="60"/>
      <c r="V8" s="60"/>
      <c r="W8" s="60"/>
      <c r="X8" s="60"/>
      <c r="Y8" s="60"/>
      <c r="Z8" s="60"/>
      <c r="AA8" s="60"/>
      <c r="AB8" s="60"/>
      <c r="AC8" s="60"/>
      <c r="AD8" s="60"/>
      <c r="AE8" s="60"/>
      <c r="AF8" s="60"/>
      <c r="AG8" s="60"/>
      <c r="AH8" s="60"/>
      <c r="AI8" s="60"/>
      <c r="AJ8" s="60"/>
      <c r="AK8" s="60"/>
      <c r="AL8" s="60"/>
      <c r="AM8" s="60"/>
      <c r="AN8" s="60"/>
      <c r="AO8" s="60"/>
      <c r="AP8" s="60"/>
    </row>
    <row r="9" spans="1:42" ht="18" customHeight="1" outlineLevel="1">
      <c r="A9" s="60" t="s">
        <v>98</v>
      </c>
      <c r="B9" s="627"/>
      <c r="C9" s="379">
        <v>46050</v>
      </c>
      <c r="D9" s="379" t="s">
        <v>103</v>
      </c>
      <c r="E9" s="380" t="s">
        <v>504</v>
      </c>
      <c r="F9" s="380" t="s">
        <v>209</v>
      </c>
      <c r="G9" s="380" t="s">
        <v>222</v>
      </c>
      <c r="H9" s="381">
        <v>56.4</v>
      </c>
      <c r="I9" s="380" t="s">
        <v>219</v>
      </c>
      <c r="J9" s="355"/>
      <c r="K9" s="355"/>
      <c r="L9" s="355"/>
      <c r="N9" s="346">
        <f t="shared" si="0"/>
        <v>56.4</v>
      </c>
      <c r="O9" s="346">
        <f t="shared" si="1"/>
        <v>0</v>
      </c>
      <c r="P9" s="346">
        <f t="shared" si="2"/>
        <v>0</v>
      </c>
      <c r="Q9" s="346">
        <f t="shared" si="3"/>
        <v>0</v>
      </c>
      <c r="R9" s="346">
        <f t="shared" si="4"/>
        <v>0</v>
      </c>
      <c r="S9" s="347">
        <f t="shared" si="5"/>
        <v>0</v>
      </c>
      <c r="T9" s="347">
        <f t="shared" si="6"/>
        <v>0</v>
      </c>
      <c r="U9" s="60"/>
      <c r="V9" s="60"/>
      <c r="W9" s="60"/>
      <c r="X9" s="60"/>
      <c r="Y9" s="60"/>
      <c r="Z9" s="60"/>
      <c r="AA9" s="60"/>
      <c r="AB9" s="60"/>
      <c r="AC9" s="60"/>
      <c r="AD9" s="60"/>
      <c r="AE9" s="60"/>
      <c r="AF9" s="60"/>
      <c r="AG9" s="60"/>
      <c r="AH9" s="60"/>
      <c r="AI9" s="60"/>
      <c r="AJ9" s="60"/>
      <c r="AK9" s="60"/>
      <c r="AL9" s="60"/>
      <c r="AM9" s="60"/>
      <c r="AN9" s="60"/>
      <c r="AO9" s="60"/>
      <c r="AP9" s="60"/>
    </row>
    <row r="10" spans="1:42" ht="18" customHeight="1" outlineLevel="1">
      <c r="A10" s="60" t="s">
        <v>98</v>
      </c>
      <c r="B10" s="627"/>
      <c r="C10" s="379">
        <v>46051</v>
      </c>
      <c r="D10" s="379" t="s">
        <v>104</v>
      </c>
      <c r="E10" s="380" t="s">
        <v>504</v>
      </c>
      <c r="F10" s="380" t="s">
        <v>209</v>
      </c>
      <c r="G10" s="380" t="s">
        <v>222</v>
      </c>
      <c r="H10" s="381">
        <v>8</v>
      </c>
      <c r="I10" s="380" t="s">
        <v>517</v>
      </c>
      <c r="J10" s="355"/>
      <c r="K10" s="355"/>
      <c r="L10" s="355"/>
      <c r="N10" s="346">
        <f t="shared" si="0"/>
        <v>8</v>
      </c>
      <c r="O10" s="346">
        <f t="shared" si="1"/>
        <v>0</v>
      </c>
      <c r="P10" s="346">
        <f t="shared" si="2"/>
        <v>0</v>
      </c>
      <c r="Q10" s="346">
        <f t="shared" si="3"/>
        <v>0</v>
      </c>
      <c r="R10" s="346">
        <f t="shared" si="4"/>
        <v>0</v>
      </c>
      <c r="S10" s="347">
        <f t="shared" si="5"/>
        <v>0</v>
      </c>
      <c r="T10" s="347">
        <f t="shared" si="6"/>
        <v>0</v>
      </c>
      <c r="U10" s="60"/>
      <c r="V10" s="60"/>
      <c r="W10" s="60"/>
      <c r="X10" s="60"/>
      <c r="Y10" s="60"/>
      <c r="Z10" s="60"/>
      <c r="AA10" s="60"/>
      <c r="AB10" s="60"/>
      <c r="AC10" s="60"/>
      <c r="AD10" s="60"/>
      <c r="AE10" s="60"/>
      <c r="AF10" s="60"/>
      <c r="AG10" s="60"/>
      <c r="AH10" s="60"/>
      <c r="AI10" s="60"/>
      <c r="AJ10" s="60"/>
      <c r="AK10" s="60"/>
      <c r="AL10" s="60"/>
      <c r="AM10" s="60"/>
      <c r="AN10" s="60"/>
      <c r="AO10" s="60"/>
      <c r="AP10" s="60"/>
    </row>
    <row r="11" spans="1:42" ht="18" customHeight="1" outlineLevel="1">
      <c r="A11" s="60" t="s">
        <v>98</v>
      </c>
      <c r="B11" s="627"/>
      <c r="C11" s="379">
        <v>46051</v>
      </c>
      <c r="D11" s="380" t="s">
        <v>52</v>
      </c>
      <c r="E11" s="380" t="s">
        <v>503</v>
      </c>
      <c r="F11" s="380" t="s">
        <v>209</v>
      </c>
      <c r="G11" s="380" t="s">
        <v>222</v>
      </c>
      <c r="H11" s="381">
        <v>14.99</v>
      </c>
      <c r="I11" s="380" t="s">
        <v>44</v>
      </c>
      <c r="J11" s="355"/>
      <c r="K11" s="355"/>
      <c r="L11" s="355"/>
      <c r="N11" s="346">
        <f t="shared" si="0"/>
        <v>14.99</v>
      </c>
      <c r="O11" s="346">
        <f t="shared" si="1"/>
        <v>0</v>
      </c>
      <c r="P11" s="346">
        <f t="shared" si="2"/>
        <v>0</v>
      </c>
      <c r="Q11" s="346">
        <f t="shared" si="3"/>
        <v>0</v>
      </c>
      <c r="R11" s="346">
        <f t="shared" si="4"/>
        <v>0</v>
      </c>
      <c r="S11" s="347">
        <f t="shared" si="5"/>
        <v>0</v>
      </c>
      <c r="T11" s="347">
        <f t="shared" si="6"/>
        <v>0</v>
      </c>
      <c r="U11" s="60"/>
      <c r="V11" s="60"/>
      <c r="W11" s="60"/>
      <c r="X11" s="60"/>
      <c r="Y11" s="60"/>
      <c r="Z11" s="60"/>
      <c r="AA11" s="60"/>
      <c r="AB11" s="60"/>
      <c r="AC11" s="60"/>
      <c r="AD11" s="60"/>
      <c r="AE11" s="60"/>
      <c r="AF11" s="60"/>
      <c r="AG11" s="60"/>
      <c r="AH11" s="60"/>
      <c r="AI11" s="60"/>
      <c r="AJ11" s="60"/>
      <c r="AK11" s="60"/>
      <c r="AL11" s="60"/>
      <c r="AM11" s="60"/>
      <c r="AN11" s="60"/>
      <c r="AO11" s="60"/>
      <c r="AP11" s="60"/>
    </row>
    <row r="12" spans="1:42" ht="18" customHeight="1" outlineLevel="1">
      <c r="A12" s="60" t="s">
        <v>98</v>
      </c>
      <c r="B12" s="627"/>
      <c r="C12" s="379">
        <v>46052</v>
      </c>
      <c r="D12" s="380" t="s">
        <v>104</v>
      </c>
      <c r="E12" s="380" t="s">
        <v>504</v>
      </c>
      <c r="F12" s="380" t="s">
        <v>209</v>
      </c>
      <c r="G12" s="380" t="s">
        <v>222</v>
      </c>
      <c r="H12" s="381">
        <v>8</v>
      </c>
      <c r="I12" s="380" t="s">
        <v>517</v>
      </c>
      <c r="J12" s="355"/>
      <c r="K12" s="355"/>
      <c r="L12" s="355"/>
      <c r="N12" s="346">
        <f t="shared" si="0"/>
        <v>8</v>
      </c>
      <c r="O12" s="346">
        <f t="shared" si="1"/>
        <v>0</v>
      </c>
      <c r="P12" s="346">
        <f t="shared" si="2"/>
        <v>0</v>
      </c>
      <c r="Q12" s="346">
        <f t="shared" si="3"/>
        <v>0</v>
      </c>
      <c r="R12" s="346">
        <f t="shared" si="4"/>
        <v>0</v>
      </c>
      <c r="S12" s="347">
        <f t="shared" si="5"/>
        <v>0</v>
      </c>
      <c r="T12" s="347">
        <f t="shared" si="6"/>
        <v>0</v>
      </c>
      <c r="U12" s="60"/>
      <c r="V12" s="60"/>
      <c r="W12" s="60"/>
      <c r="X12" s="60"/>
      <c r="Y12" s="60"/>
      <c r="Z12" s="60"/>
      <c r="AA12" s="60"/>
      <c r="AB12" s="60"/>
      <c r="AC12" s="60"/>
      <c r="AD12" s="60"/>
      <c r="AE12" s="60"/>
      <c r="AF12" s="60"/>
      <c r="AG12" s="60"/>
      <c r="AH12" s="60"/>
      <c r="AI12" s="60"/>
      <c r="AJ12" s="60"/>
      <c r="AK12" s="60"/>
      <c r="AL12" s="60"/>
      <c r="AM12" s="60"/>
      <c r="AN12" s="60"/>
      <c r="AO12" s="60"/>
      <c r="AP12" s="60"/>
    </row>
    <row r="13" spans="1:42" ht="18" customHeight="1" outlineLevel="1">
      <c r="A13" s="60" t="s">
        <v>98</v>
      </c>
      <c r="B13" s="627"/>
      <c r="C13" s="379">
        <v>46053</v>
      </c>
      <c r="D13" s="380" t="s">
        <v>105</v>
      </c>
      <c r="E13" s="380" t="s">
        <v>491</v>
      </c>
      <c r="F13" s="380" t="s">
        <v>209</v>
      </c>
      <c r="G13" s="380" t="s">
        <v>213</v>
      </c>
      <c r="H13" s="381">
        <v>105</v>
      </c>
      <c r="I13" s="380" t="s">
        <v>225</v>
      </c>
      <c r="J13" s="355"/>
      <c r="K13" s="355"/>
      <c r="L13" s="355"/>
      <c r="N13" s="346">
        <f t="shared" si="0"/>
        <v>0</v>
      </c>
      <c r="O13" s="346">
        <f t="shared" si="1"/>
        <v>105</v>
      </c>
      <c r="P13" s="346">
        <f t="shared" si="2"/>
        <v>0</v>
      </c>
      <c r="Q13" s="346">
        <f t="shared" si="3"/>
        <v>0</v>
      </c>
      <c r="R13" s="346">
        <f t="shared" si="4"/>
        <v>0</v>
      </c>
      <c r="S13" s="347">
        <f t="shared" si="5"/>
        <v>0</v>
      </c>
      <c r="T13" s="347">
        <f t="shared" si="6"/>
        <v>0</v>
      </c>
      <c r="U13" s="60"/>
      <c r="V13" s="60"/>
      <c r="W13" s="60"/>
      <c r="X13" s="60"/>
      <c r="Y13" s="60"/>
      <c r="Z13" s="60"/>
      <c r="AA13" s="60"/>
      <c r="AB13" s="60"/>
      <c r="AC13" s="60"/>
      <c r="AD13" s="60"/>
      <c r="AE13" s="60"/>
      <c r="AF13" s="60"/>
      <c r="AG13" s="60"/>
      <c r="AH13" s="60"/>
      <c r="AI13" s="60"/>
      <c r="AJ13" s="60"/>
      <c r="AK13" s="60"/>
      <c r="AL13" s="60"/>
      <c r="AM13" s="60"/>
      <c r="AN13" s="60"/>
      <c r="AO13" s="60"/>
      <c r="AP13" s="60"/>
    </row>
    <row r="14" spans="1:42" ht="18" customHeight="1" outlineLevel="1">
      <c r="A14" s="60" t="s">
        <v>98</v>
      </c>
      <c r="B14" s="627"/>
      <c r="C14" s="379">
        <v>46053</v>
      </c>
      <c r="D14" s="380" t="s">
        <v>106</v>
      </c>
      <c r="E14" s="380" t="s">
        <v>504</v>
      </c>
      <c r="F14" s="380" t="s">
        <v>209</v>
      </c>
      <c r="G14" s="380" t="s">
        <v>214</v>
      </c>
      <c r="H14" s="381">
        <v>100</v>
      </c>
      <c r="I14" s="380" t="s">
        <v>225</v>
      </c>
      <c r="J14" s="355"/>
      <c r="K14" s="355"/>
      <c r="L14" s="355"/>
      <c r="N14" s="346">
        <f t="shared" si="0"/>
        <v>100</v>
      </c>
      <c r="O14" s="346">
        <f t="shared" si="1"/>
        <v>0</v>
      </c>
      <c r="P14" s="346">
        <f t="shared" si="2"/>
        <v>0</v>
      </c>
      <c r="Q14" s="346">
        <f t="shared" si="3"/>
        <v>0</v>
      </c>
      <c r="R14" s="346">
        <f t="shared" si="4"/>
        <v>0</v>
      </c>
      <c r="S14" s="347">
        <f t="shared" si="5"/>
        <v>0</v>
      </c>
      <c r="T14" s="347">
        <f t="shared" si="6"/>
        <v>0</v>
      </c>
      <c r="U14" s="60"/>
      <c r="V14" s="60"/>
      <c r="W14" s="60"/>
      <c r="X14" s="60"/>
      <c r="Y14" s="60"/>
      <c r="Z14" s="60"/>
      <c r="AA14" s="60"/>
      <c r="AB14" s="60"/>
      <c r="AC14" s="60"/>
      <c r="AD14" s="60"/>
      <c r="AE14" s="60"/>
      <c r="AF14" s="60"/>
      <c r="AG14" s="60"/>
      <c r="AH14" s="60"/>
      <c r="AI14" s="60"/>
      <c r="AJ14" s="60"/>
      <c r="AK14" s="60"/>
      <c r="AL14" s="60"/>
      <c r="AM14" s="60"/>
      <c r="AN14" s="60"/>
      <c r="AO14" s="60"/>
      <c r="AP14" s="60"/>
    </row>
    <row r="15" spans="1:42" ht="18" customHeight="1" outlineLevel="1">
      <c r="A15" s="60" t="s">
        <v>98</v>
      </c>
      <c r="B15" s="627"/>
      <c r="C15" s="379">
        <v>46053</v>
      </c>
      <c r="D15" s="380" t="s">
        <v>206</v>
      </c>
      <c r="E15" s="380" t="s">
        <v>504</v>
      </c>
      <c r="F15" s="380" t="s">
        <v>209</v>
      </c>
      <c r="G15" s="380" t="s">
        <v>222</v>
      </c>
      <c r="H15" s="381">
        <v>11</v>
      </c>
      <c r="I15" s="380" t="s">
        <v>517</v>
      </c>
      <c r="J15" s="355"/>
      <c r="K15" s="355"/>
      <c r="L15" s="355"/>
      <c r="N15" s="346">
        <f t="shared" si="0"/>
        <v>11</v>
      </c>
      <c r="O15" s="346">
        <f t="shared" si="1"/>
        <v>0</v>
      </c>
      <c r="P15" s="346">
        <f t="shared" si="2"/>
        <v>0</v>
      </c>
      <c r="Q15" s="346">
        <f t="shared" si="3"/>
        <v>0</v>
      </c>
      <c r="R15" s="346">
        <f t="shared" si="4"/>
        <v>0</v>
      </c>
      <c r="S15" s="347">
        <f t="shared" si="5"/>
        <v>0</v>
      </c>
      <c r="T15" s="347">
        <f t="shared" si="6"/>
        <v>0</v>
      </c>
      <c r="U15" s="60"/>
      <c r="V15" s="60"/>
      <c r="W15" s="60"/>
      <c r="X15" s="60"/>
      <c r="Y15" s="60"/>
      <c r="Z15" s="60"/>
      <c r="AA15" s="60"/>
      <c r="AB15" s="60"/>
      <c r="AC15" s="60"/>
      <c r="AD15" s="60"/>
      <c r="AE15" s="60"/>
      <c r="AF15" s="60"/>
      <c r="AG15" s="60"/>
      <c r="AH15" s="60"/>
      <c r="AI15" s="60"/>
      <c r="AJ15" s="60"/>
      <c r="AK15" s="60"/>
      <c r="AL15" s="60"/>
      <c r="AM15" s="60"/>
      <c r="AN15" s="60"/>
      <c r="AO15" s="60"/>
      <c r="AP15" s="60"/>
    </row>
    <row r="16" spans="1:42" ht="18" customHeight="1" outlineLevel="1">
      <c r="A16" s="60" t="s">
        <v>98</v>
      </c>
      <c r="B16" s="627"/>
      <c r="C16" s="379">
        <v>46054</v>
      </c>
      <c r="D16" s="380" t="s">
        <v>107</v>
      </c>
      <c r="E16" s="380" t="s">
        <v>478</v>
      </c>
      <c r="F16" s="380" t="s">
        <v>209</v>
      </c>
      <c r="G16" s="380" t="s">
        <v>549</v>
      </c>
      <c r="H16" s="381">
        <v>200</v>
      </c>
      <c r="I16" s="380" t="s">
        <v>224</v>
      </c>
      <c r="J16" s="355"/>
      <c r="K16" s="355"/>
      <c r="L16" s="355"/>
      <c r="N16" s="346">
        <f t="shared" si="0"/>
        <v>0</v>
      </c>
      <c r="O16" s="346">
        <f t="shared" si="1"/>
        <v>0</v>
      </c>
      <c r="P16" s="346">
        <f t="shared" si="2"/>
        <v>200</v>
      </c>
      <c r="Q16" s="346">
        <f t="shared" si="3"/>
        <v>0</v>
      </c>
      <c r="R16" s="346">
        <f t="shared" si="4"/>
        <v>0</v>
      </c>
      <c r="S16" s="347">
        <f t="shared" si="5"/>
        <v>0</v>
      </c>
      <c r="T16" s="347">
        <f t="shared" si="6"/>
        <v>0</v>
      </c>
      <c r="U16" s="60"/>
      <c r="V16" s="60"/>
      <c r="W16" s="60"/>
      <c r="X16" s="60"/>
      <c r="Y16" s="60"/>
      <c r="Z16" s="60"/>
      <c r="AA16" s="60"/>
      <c r="AB16" s="60"/>
      <c r="AC16" s="60"/>
      <c r="AD16" s="60"/>
      <c r="AE16" s="60"/>
      <c r="AF16" s="60"/>
      <c r="AG16" s="60"/>
      <c r="AH16" s="60"/>
      <c r="AI16" s="60"/>
      <c r="AJ16" s="60"/>
      <c r="AK16" s="60"/>
      <c r="AL16" s="60"/>
      <c r="AM16" s="60"/>
      <c r="AN16" s="60"/>
      <c r="AO16" s="60"/>
      <c r="AP16" s="60"/>
    </row>
    <row r="17" spans="1:42" ht="18" customHeight="1" outlineLevel="1">
      <c r="A17" s="60" t="s">
        <v>98</v>
      </c>
      <c r="B17" s="627"/>
      <c r="C17" s="382">
        <v>46054</v>
      </c>
      <c r="D17" s="383" t="s">
        <v>109</v>
      </c>
      <c r="E17" s="383" t="s">
        <v>504</v>
      </c>
      <c r="F17" s="383" t="s">
        <v>209</v>
      </c>
      <c r="G17" s="383" t="s">
        <v>222</v>
      </c>
      <c r="H17" s="384">
        <v>60</v>
      </c>
      <c r="I17" s="383" t="s">
        <v>220</v>
      </c>
      <c r="J17" s="355"/>
      <c r="K17" s="355"/>
      <c r="L17" s="355"/>
      <c r="N17" s="346">
        <f t="shared" si="0"/>
        <v>60</v>
      </c>
      <c r="O17" s="346">
        <f t="shared" si="1"/>
        <v>0</v>
      </c>
      <c r="P17" s="346">
        <f t="shared" si="2"/>
        <v>0</v>
      </c>
      <c r="Q17" s="346">
        <f t="shared" si="3"/>
        <v>0</v>
      </c>
      <c r="R17" s="346">
        <f t="shared" si="4"/>
        <v>0</v>
      </c>
      <c r="S17" s="347">
        <f t="shared" si="5"/>
        <v>0</v>
      </c>
      <c r="T17" s="347">
        <f t="shared" si="6"/>
        <v>0</v>
      </c>
      <c r="U17" s="60"/>
      <c r="V17" s="60"/>
      <c r="W17" s="60"/>
      <c r="X17" s="60"/>
      <c r="Y17" s="60"/>
      <c r="Z17" s="60"/>
      <c r="AA17" s="60"/>
      <c r="AB17" s="60"/>
      <c r="AC17" s="60"/>
      <c r="AD17" s="60"/>
      <c r="AE17" s="60"/>
      <c r="AF17" s="60"/>
      <c r="AG17" s="60"/>
      <c r="AH17" s="60"/>
      <c r="AI17" s="60"/>
      <c r="AJ17" s="60"/>
      <c r="AK17" s="60"/>
      <c r="AL17" s="60"/>
      <c r="AM17" s="60"/>
      <c r="AN17" s="60"/>
      <c r="AO17" s="60"/>
      <c r="AP17" s="60"/>
    </row>
    <row r="18" spans="1:42" ht="18" customHeight="1">
      <c r="A18" s="60" t="s">
        <v>98</v>
      </c>
      <c r="B18" s="385"/>
      <c r="C18" s="386"/>
      <c r="D18" s="387"/>
      <c r="E18" s="387"/>
      <c r="F18" s="387"/>
      <c r="G18" s="387"/>
      <c r="H18" s="388"/>
      <c r="I18" s="389"/>
      <c r="J18" s="355"/>
      <c r="K18" s="355"/>
      <c r="L18" s="355"/>
      <c r="N18" s="346">
        <f t="shared" si="0"/>
        <v>0</v>
      </c>
      <c r="O18" s="346">
        <f t="shared" si="1"/>
        <v>0</v>
      </c>
      <c r="P18" s="346">
        <f t="shared" si="2"/>
        <v>0</v>
      </c>
      <c r="Q18" s="346">
        <f t="shared" si="3"/>
        <v>0</v>
      </c>
      <c r="R18" s="347">
        <f t="shared" si="4"/>
        <v>0</v>
      </c>
      <c r="S18" s="347">
        <f t="shared" si="5"/>
        <v>0</v>
      </c>
      <c r="T18" s="347">
        <f t="shared" si="6"/>
        <v>0</v>
      </c>
      <c r="U18" s="60"/>
      <c r="V18" s="60"/>
      <c r="W18" s="60"/>
      <c r="X18" s="60"/>
      <c r="Y18" s="60"/>
      <c r="Z18" s="60"/>
      <c r="AA18" s="60"/>
      <c r="AB18" s="60"/>
      <c r="AC18" s="60"/>
      <c r="AD18" s="60"/>
      <c r="AE18" s="60"/>
      <c r="AF18" s="60"/>
      <c r="AG18" s="60"/>
      <c r="AH18" s="60"/>
      <c r="AI18" s="60"/>
      <c r="AJ18" s="60"/>
      <c r="AK18" s="60"/>
      <c r="AL18" s="60"/>
      <c r="AM18" s="60"/>
      <c r="AN18" s="60"/>
      <c r="AO18" s="60"/>
      <c r="AP18" s="60"/>
    </row>
    <row r="19" spans="1:42" ht="18" customHeight="1">
      <c r="A19" s="60" t="s">
        <v>98</v>
      </c>
      <c r="B19" s="390"/>
      <c r="C19" s="391"/>
      <c r="D19" s="392"/>
      <c r="E19" s="392"/>
      <c r="F19" s="392"/>
      <c r="G19" s="392"/>
      <c r="H19" s="393"/>
      <c r="I19" s="394"/>
      <c r="J19" s="355"/>
      <c r="K19" s="355"/>
      <c r="L19" s="355"/>
      <c r="N19" s="346">
        <f t="shared" si="0"/>
        <v>0</v>
      </c>
      <c r="O19" s="346">
        <f t="shared" si="1"/>
        <v>0</v>
      </c>
      <c r="P19" s="346">
        <f t="shared" si="2"/>
        <v>0</v>
      </c>
      <c r="Q19" s="346">
        <f t="shared" si="3"/>
        <v>0</v>
      </c>
      <c r="R19" s="347">
        <f t="shared" si="4"/>
        <v>0</v>
      </c>
      <c r="S19" s="347">
        <f t="shared" si="5"/>
        <v>0</v>
      </c>
      <c r="T19" s="347">
        <f t="shared" si="6"/>
        <v>0</v>
      </c>
      <c r="U19" s="60"/>
      <c r="V19" s="60"/>
      <c r="W19" s="60"/>
      <c r="X19" s="60"/>
      <c r="Y19" s="60"/>
      <c r="Z19" s="60"/>
      <c r="AA19" s="60"/>
      <c r="AB19" s="60"/>
      <c r="AC19" s="60"/>
      <c r="AD19" s="60"/>
      <c r="AE19" s="60"/>
      <c r="AF19" s="60"/>
      <c r="AG19" s="60"/>
      <c r="AH19" s="60"/>
      <c r="AI19" s="60"/>
      <c r="AJ19" s="60"/>
      <c r="AK19" s="60"/>
      <c r="AL19" s="60"/>
      <c r="AM19" s="60"/>
      <c r="AN19" s="60"/>
      <c r="AO19" s="60"/>
      <c r="AP19" s="60"/>
    </row>
    <row r="20" spans="1:42" ht="18" customHeight="1">
      <c r="A20" s="60" t="s">
        <v>98</v>
      </c>
      <c r="B20" s="630" t="s">
        <v>254</v>
      </c>
      <c r="C20" s="631"/>
      <c r="D20" s="631"/>
      <c r="E20" s="631"/>
      <c r="F20" s="631"/>
      <c r="G20" s="632"/>
      <c r="H20" s="395">
        <f>SUMIF(E4:E17,"Income",H4:H17)</f>
        <v>1316.75</v>
      </c>
      <c r="I20" s="396"/>
      <c r="J20" s="355"/>
      <c r="K20" s="355"/>
      <c r="L20" s="355"/>
      <c r="N20" s="346">
        <f t="shared" si="0"/>
        <v>0</v>
      </c>
      <c r="O20" s="346">
        <f t="shared" si="1"/>
        <v>0</v>
      </c>
      <c r="P20" s="346">
        <f t="shared" si="2"/>
        <v>0</v>
      </c>
      <c r="Q20" s="346">
        <f t="shared" si="3"/>
        <v>0</v>
      </c>
      <c r="R20" s="347">
        <f t="shared" si="4"/>
        <v>0</v>
      </c>
      <c r="S20" s="347">
        <f t="shared" si="5"/>
        <v>0</v>
      </c>
      <c r="T20" s="347">
        <f t="shared" si="6"/>
        <v>0</v>
      </c>
      <c r="U20" s="60"/>
      <c r="V20" s="60"/>
      <c r="W20" s="60"/>
      <c r="X20" s="60"/>
      <c r="Y20" s="60"/>
      <c r="Z20" s="60"/>
      <c r="AA20" s="60"/>
      <c r="AB20" s="60"/>
      <c r="AC20" s="60"/>
      <c r="AD20" s="60"/>
      <c r="AE20" s="60"/>
      <c r="AF20" s="60"/>
      <c r="AG20" s="60"/>
      <c r="AH20" s="60"/>
      <c r="AI20" s="60"/>
      <c r="AJ20" s="60"/>
      <c r="AK20" s="60"/>
      <c r="AL20" s="60"/>
      <c r="AM20" s="60"/>
      <c r="AN20" s="60"/>
      <c r="AO20" s="60"/>
      <c r="AP20" s="60"/>
    </row>
    <row r="21" spans="1:42" ht="18" customHeight="1">
      <c r="A21" s="60" t="s">
        <v>98</v>
      </c>
      <c r="B21" s="397"/>
      <c r="C21" s="398"/>
      <c r="D21" s="398"/>
      <c r="E21" s="398"/>
      <c r="F21" s="615" t="s">
        <v>354</v>
      </c>
      <c r="G21" s="613"/>
      <c r="H21" s="399">
        <f>SUMIF(E4:E17,"Joint Account",H4:H17)</f>
        <v>200</v>
      </c>
      <c r="I21" s="400"/>
      <c r="J21" s="355"/>
      <c r="K21" s="355"/>
      <c r="L21" s="355"/>
      <c r="N21" s="346">
        <f t="shared" si="0"/>
        <v>0</v>
      </c>
      <c r="O21" s="346">
        <f t="shared" si="1"/>
        <v>0</v>
      </c>
      <c r="P21" s="346">
        <f t="shared" si="2"/>
        <v>0</v>
      </c>
      <c r="Q21" s="346">
        <f t="shared" si="3"/>
        <v>0</v>
      </c>
      <c r="R21" s="347">
        <f t="shared" si="4"/>
        <v>0</v>
      </c>
      <c r="S21" s="347">
        <f t="shared" si="5"/>
        <v>0</v>
      </c>
      <c r="T21" s="347">
        <f t="shared" si="6"/>
        <v>0</v>
      </c>
      <c r="U21" s="60"/>
      <c r="V21" s="60"/>
      <c r="W21" s="60"/>
      <c r="X21" s="60"/>
      <c r="Y21" s="60"/>
      <c r="Z21" s="60"/>
      <c r="AA21" s="60"/>
      <c r="AB21" s="60"/>
      <c r="AC21" s="60"/>
      <c r="AD21" s="60"/>
      <c r="AE21" s="60"/>
      <c r="AF21" s="60"/>
      <c r="AG21" s="60"/>
      <c r="AH21" s="60"/>
      <c r="AI21" s="60"/>
      <c r="AJ21" s="60"/>
      <c r="AK21" s="60"/>
      <c r="AL21" s="60"/>
      <c r="AM21" s="60"/>
      <c r="AN21" s="60"/>
      <c r="AO21" s="60"/>
      <c r="AP21" s="60"/>
    </row>
    <row r="22" spans="1:42" ht="18" customHeight="1">
      <c r="A22" s="60" t="s">
        <v>98</v>
      </c>
      <c r="B22" s="616" t="s">
        <v>226</v>
      </c>
      <c r="C22" s="612"/>
      <c r="D22" s="612"/>
      <c r="E22" s="612"/>
      <c r="F22" s="612"/>
      <c r="G22" s="613"/>
      <c r="H22" s="404">
        <f>SUMIF(E4:E17,"Recurring Expense",H4:H17)</f>
        <v>164.99</v>
      </c>
      <c r="I22" s="405"/>
      <c r="J22" s="356"/>
      <c r="K22" s="356"/>
      <c r="L22" s="356"/>
      <c r="N22" s="346">
        <f t="shared" si="0"/>
        <v>0</v>
      </c>
      <c r="O22" s="346">
        <f t="shared" si="1"/>
        <v>0</v>
      </c>
      <c r="P22" s="346">
        <f t="shared" si="2"/>
        <v>0</v>
      </c>
      <c r="Q22" s="346">
        <f t="shared" si="3"/>
        <v>0</v>
      </c>
      <c r="R22" s="347">
        <f t="shared" si="4"/>
        <v>0</v>
      </c>
      <c r="S22" s="347">
        <f t="shared" si="5"/>
        <v>0</v>
      </c>
      <c r="T22" s="347">
        <f t="shared" si="6"/>
        <v>0</v>
      </c>
      <c r="U22" s="60"/>
      <c r="V22" s="60"/>
      <c r="W22" s="60"/>
      <c r="X22" s="60"/>
      <c r="Y22" s="60"/>
      <c r="Z22" s="60"/>
      <c r="AA22" s="60"/>
      <c r="AB22" s="60"/>
      <c r="AC22" s="60"/>
      <c r="AD22" s="60"/>
      <c r="AE22" s="60"/>
      <c r="AF22" s="60"/>
      <c r="AG22" s="60"/>
      <c r="AH22" s="60"/>
      <c r="AI22" s="60"/>
      <c r="AJ22" s="60"/>
      <c r="AK22" s="60"/>
      <c r="AL22" s="60"/>
      <c r="AM22" s="60"/>
      <c r="AN22" s="60"/>
      <c r="AO22" s="60"/>
      <c r="AP22" s="60"/>
    </row>
    <row r="23" spans="1:42" ht="18" customHeight="1">
      <c r="A23" s="60" t="s">
        <v>98</v>
      </c>
      <c r="B23" s="616" t="s">
        <v>227</v>
      </c>
      <c r="C23" s="612"/>
      <c r="D23" s="612"/>
      <c r="E23" s="612"/>
      <c r="F23" s="612"/>
      <c r="G23" s="613"/>
      <c r="H23" s="404">
        <f>SUMIF(E4:E17,"Investment",H4:H17)</f>
        <v>15</v>
      </c>
      <c r="I23" s="406"/>
      <c r="J23" s="60"/>
      <c r="K23" s="60"/>
      <c r="L23" s="60"/>
      <c r="N23" s="346">
        <f t="shared" si="0"/>
        <v>0</v>
      </c>
      <c r="O23" s="346">
        <f t="shared" si="1"/>
        <v>0</v>
      </c>
      <c r="P23" s="346">
        <f t="shared" si="2"/>
        <v>0</v>
      </c>
      <c r="Q23" s="346">
        <f t="shared" si="3"/>
        <v>0</v>
      </c>
      <c r="R23" s="347">
        <f t="shared" si="4"/>
        <v>0</v>
      </c>
      <c r="S23" s="347">
        <f t="shared" si="5"/>
        <v>0</v>
      </c>
      <c r="T23" s="347">
        <f t="shared" si="6"/>
        <v>0</v>
      </c>
      <c r="U23" s="60"/>
      <c r="V23" s="60"/>
      <c r="W23" s="60"/>
      <c r="X23" s="60"/>
      <c r="Y23" s="60"/>
      <c r="Z23" s="60"/>
      <c r="AA23" s="60"/>
      <c r="AB23" s="60"/>
      <c r="AC23" s="60"/>
      <c r="AD23" s="60"/>
      <c r="AE23" s="60"/>
      <c r="AF23" s="60"/>
      <c r="AG23" s="60"/>
      <c r="AH23" s="60"/>
      <c r="AI23" s="60"/>
      <c r="AJ23" s="60"/>
      <c r="AK23" s="60"/>
      <c r="AL23" s="60"/>
      <c r="AM23" s="60"/>
      <c r="AN23" s="60"/>
      <c r="AO23" s="60"/>
      <c r="AP23" s="60"/>
    </row>
    <row r="24" spans="1:42" ht="18" customHeight="1">
      <c r="A24" s="60" t="s">
        <v>98</v>
      </c>
      <c r="B24" s="616" t="s">
        <v>250</v>
      </c>
      <c r="C24" s="612"/>
      <c r="D24" s="612"/>
      <c r="E24" s="612"/>
      <c r="F24" s="612"/>
      <c r="G24" s="613"/>
      <c r="H24" s="407">
        <f>SUMIF(E4:E17,"Saving Allocation",H4:H17)</f>
        <v>200</v>
      </c>
      <c r="I24" s="408"/>
      <c r="J24" s="60"/>
      <c r="K24" s="60"/>
      <c r="L24" s="60"/>
      <c r="N24" s="346">
        <f t="shared" si="0"/>
        <v>0</v>
      </c>
      <c r="O24" s="346">
        <f t="shared" si="1"/>
        <v>0</v>
      </c>
      <c r="P24" s="346">
        <f t="shared" si="2"/>
        <v>0</v>
      </c>
      <c r="Q24" s="346">
        <f t="shared" si="3"/>
        <v>0</v>
      </c>
      <c r="R24" s="347">
        <f t="shared" si="4"/>
        <v>0</v>
      </c>
      <c r="S24" s="347">
        <f t="shared" si="5"/>
        <v>0</v>
      </c>
      <c r="T24" s="347">
        <f t="shared" si="6"/>
        <v>0</v>
      </c>
      <c r="U24" s="60"/>
      <c r="V24" s="60"/>
      <c r="W24" s="60"/>
      <c r="X24" s="60"/>
      <c r="Y24" s="60"/>
      <c r="Z24" s="60"/>
      <c r="AA24" s="60"/>
      <c r="AB24" s="60"/>
      <c r="AC24" s="60"/>
      <c r="AD24" s="60"/>
      <c r="AE24" s="60"/>
      <c r="AF24" s="60"/>
      <c r="AG24" s="60"/>
      <c r="AH24" s="60"/>
      <c r="AI24" s="60"/>
      <c r="AJ24" s="60"/>
      <c r="AK24" s="60"/>
      <c r="AL24" s="60"/>
      <c r="AM24" s="60"/>
      <c r="AN24" s="60"/>
      <c r="AO24" s="60"/>
      <c r="AP24" s="60"/>
    </row>
    <row r="25" spans="1:42" ht="18" customHeight="1">
      <c r="A25" s="60" t="s">
        <v>98</v>
      </c>
      <c r="B25" s="636" t="s">
        <v>251</v>
      </c>
      <c r="C25" s="637"/>
      <c r="D25" s="637"/>
      <c r="E25" s="637"/>
      <c r="F25" s="637"/>
      <c r="G25" s="638"/>
      <c r="H25" s="407">
        <f>SUMIF(E4:E17,"Personal Expense",H4:H17)</f>
        <v>243.4</v>
      </c>
      <c r="I25" s="408"/>
      <c r="J25" s="60"/>
      <c r="K25" s="60"/>
      <c r="L25" s="60"/>
      <c r="N25" s="346">
        <f t="shared" si="0"/>
        <v>0</v>
      </c>
      <c r="O25" s="346">
        <f t="shared" si="1"/>
        <v>0</v>
      </c>
      <c r="P25" s="346">
        <f t="shared" si="2"/>
        <v>0</v>
      </c>
      <c r="Q25" s="346">
        <f t="shared" si="3"/>
        <v>0</v>
      </c>
      <c r="R25" s="347">
        <f t="shared" si="4"/>
        <v>0</v>
      </c>
      <c r="S25" s="347">
        <f t="shared" si="5"/>
        <v>0</v>
      </c>
      <c r="T25" s="347">
        <f t="shared" si="6"/>
        <v>0</v>
      </c>
      <c r="U25" s="60"/>
      <c r="V25" s="60"/>
      <c r="W25" s="60"/>
      <c r="X25" s="60"/>
      <c r="Y25" s="60"/>
      <c r="Z25" s="60"/>
      <c r="AA25" s="60"/>
      <c r="AB25" s="60"/>
      <c r="AC25" s="60"/>
      <c r="AD25" s="60"/>
      <c r="AE25" s="60"/>
      <c r="AF25" s="60"/>
      <c r="AG25" s="60"/>
      <c r="AH25" s="60"/>
      <c r="AI25" s="60"/>
      <c r="AJ25" s="60"/>
      <c r="AK25" s="60"/>
      <c r="AL25" s="60"/>
      <c r="AM25" s="60"/>
      <c r="AN25" s="60"/>
      <c r="AO25" s="60"/>
      <c r="AP25" s="60"/>
    </row>
    <row r="26" spans="1:42" ht="18" customHeight="1">
      <c r="A26" s="60" t="s">
        <v>98</v>
      </c>
      <c r="B26" s="409"/>
      <c r="C26" s="410"/>
      <c r="D26" s="410"/>
      <c r="E26" s="410"/>
      <c r="F26" s="410"/>
      <c r="G26" s="410" t="s">
        <v>495</v>
      </c>
      <c r="H26" s="407">
        <f>SUMIF(E4:E17,"Debt Repayment",H4:H17)</f>
        <v>375</v>
      </c>
      <c r="I26" s="408"/>
      <c r="J26" s="60"/>
      <c r="K26" s="60"/>
      <c r="L26" s="60"/>
      <c r="N26" s="346">
        <f t="shared" si="0"/>
        <v>0</v>
      </c>
      <c r="O26" s="346">
        <f t="shared" si="1"/>
        <v>0</v>
      </c>
      <c r="P26" s="346">
        <f t="shared" si="2"/>
        <v>0</v>
      </c>
      <c r="Q26" s="346">
        <f t="shared" si="3"/>
        <v>0</v>
      </c>
      <c r="R26" s="347">
        <f t="shared" si="4"/>
        <v>0</v>
      </c>
      <c r="S26" s="347">
        <f t="shared" si="5"/>
        <v>0</v>
      </c>
      <c r="T26" s="347">
        <f t="shared" si="6"/>
        <v>0</v>
      </c>
      <c r="U26" s="60"/>
      <c r="V26" s="60"/>
      <c r="W26" s="60"/>
      <c r="X26" s="60"/>
      <c r="Y26" s="60"/>
      <c r="Z26" s="60"/>
      <c r="AA26" s="60"/>
      <c r="AB26" s="60"/>
      <c r="AC26" s="60"/>
      <c r="AD26" s="60"/>
      <c r="AE26" s="60"/>
      <c r="AF26" s="60"/>
      <c r="AG26" s="60"/>
      <c r="AH26" s="60"/>
      <c r="AI26" s="60"/>
      <c r="AJ26" s="60"/>
      <c r="AK26" s="60"/>
      <c r="AL26" s="60"/>
      <c r="AM26" s="60"/>
      <c r="AN26" s="60"/>
      <c r="AO26" s="60"/>
      <c r="AP26" s="60"/>
    </row>
    <row r="27" spans="1:42" ht="18" customHeight="1">
      <c r="A27" s="60" t="s">
        <v>98</v>
      </c>
      <c r="B27" s="411"/>
      <c r="C27" s="412"/>
      <c r="D27" s="412"/>
      <c r="E27" s="412"/>
      <c r="F27" s="412"/>
      <c r="G27" s="412" t="s">
        <v>253</v>
      </c>
      <c r="H27" s="413">
        <f>H22+H25+H21+H23+H26+H24</f>
        <v>1198.3899999999999</v>
      </c>
      <c r="I27" s="414"/>
      <c r="J27" s="60"/>
      <c r="K27" s="60"/>
      <c r="L27" s="60"/>
      <c r="N27" s="346">
        <f t="shared" si="0"/>
        <v>0</v>
      </c>
      <c r="O27" s="346">
        <f t="shared" si="1"/>
        <v>0</v>
      </c>
      <c r="P27" s="346">
        <f t="shared" si="2"/>
        <v>0</v>
      </c>
      <c r="Q27" s="346">
        <f t="shared" si="3"/>
        <v>0</v>
      </c>
      <c r="R27" s="347">
        <f t="shared" si="4"/>
        <v>0</v>
      </c>
      <c r="S27" s="347">
        <f t="shared" si="5"/>
        <v>0</v>
      </c>
      <c r="T27" s="347">
        <f t="shared" si="6"/>
        <v>0</v>
      </c>
      <c r="U27" s="60"/>
      <c r="V27" s="60"/>
      <c r="W27" s="60"/>
      <c r="X27" s="60"/>
      <c r="Y27" s="60"/>
      <c r="Z27" s="60"/>
      <c r="AA27" s="60"/>
      <c r="AB27" s="60"/>
      <c r="AC27" s="60"/>
      <c r="AD27" s="60"/>
      <c r="AE27" s="60"/>
      <c r="AF27" s="60"/>
      <c r="AG27" s="60"/>
      <c r="AH27" s="60"/>
      <c r="AI27" s="60"/>
      <c r="AJ27" s="60"/>
      <c r="AK27" s="60"/>
      <c r="AL27" s="60"/>
      <c r="AM27" s="60"/>
      <c r="AN27" s="60"/>
      <c r="AO27" s="60"/>
      <c r="AP27" s="60"/>
    </row>
    <row r="28" spans="1:42" ht="18" customHeight="1">
      <c r="A28" s="60" t="s">
        <v>98</v>
      </c>
      <c r="B28" s="634" t="s">
        <v>497</v>
      </c>
      <c r="C28" s="618"/>
      <c r="D28" s="618"/>
      <c r="E28" s="618"/>
      <c r="F28" s="618"/>
      <c r="G28" s="618"/>
      <c r="H28" s="578">
        <f>H20-(H22+H25)-H21-H23-H26-H24</f>
        <v>118.36000000000001</v>
      </c>
      <c r="I28" s="418"/>
      <c r="J28" s="60"/>
      <c r="K28" s="60"/>
      <c r="L28" s="60"/>
      <c r="N28" s="346">
        <f t="shared" si="0"/>
        <v>0</v>
      </c>
      <c r="O28" s="346">
        <f t="shared" si="1"/>
        <v>0</v>
      </c>
      <c r="P28" s="346">
        <f t="shared" si="2"/>
        <v>0</v>
      </c>
      <c r="Q28" s="346">
        <f t="shared" si="3"/>
        <v>0</v>
      </c>
      <c r="R28" s="347">
        <f t="shared" si="4"/>
        <v>0</v>
      </c>
      <c r="S28" s="347">
        <f t="shared" si="5"/>
        <v>0</v>
      </c>
      <c r="T28" s="347">
        <f t="shared" si="6"/>
        <v>0</v>
      </c>
      <c r="U28" s="60"/>
      <c r="V28" s="60"/>
      <c r="W28" s="60"/>
      <c r="X28" s="60"/>
      <c r="Y28" s="60"/>
      <c r="Z28" s="60"/>
      <c r="AA28" s="60"/>
      <c r="AB28" s="60"/>
      <c r="AC28" s="60"/>
      <c r="AD28" s="60"/>
      <c r="AE28" s="60"/>
      <c r="AF28" s="60"/>
      <c r="AG28" s="60"/>
      <c r="AH28" s="60"/>
      <c r="AI28" s="60"/>
      <c r="AJ28" s="60"/>
      <c r="AK28" s="60"/>
      <c r="AL28" s="60"/>
      <c r="AM28" s="60"/>
      <c r="AN28" s="60"/>
      <c r="AO28" s="60"/>
      <c r="AP28" s="60"/>
    </row>
    <row r="29" spans="1:42" ht="18" customHeight="1">
      <c r="A29" s="60"/>
      <c r="B29" s="644" t="s">
        <v>554</v>
      </c>
      <c r="C29" s="612"/>
      <c r="D29" s="612"/>
      <c r="E29" s="612"/>
      <c r="F29" s="612"/>
      <c r="G29" s="612"/>
      <c r="H29" s="417">
        <f>H28+SUMIFS($H:$H,$A:$A,A28,$E:$E,"Saving Allocation")</f>
        <v>318.36</v>
      </c>
      <c r="I29" s="418"/>
      <c r="J29" s="60"/>
      <c r="K29" s="60"/>
      <c r="L29" s="60"/>
      <c r="N29" s="346"/>
      <c r="O29" s="346"/>
      <c r="P29" s="346"/>
      <c r="Q29" s="346"/>
      <c r="R29" s="347"/>
      <c r="S29" s="347"/>
      <c r="T29" s="347"/>
      <c r="U29" s="60"/>
      <c r="V29" s="60"/>
      <c r="W29" s="60"/>
      <c r="X29" s="60"/>
      <c r="Y29" s="60"/>
      <c r="Z29" s="60"/>
      <c r="AA29" s="60"/>
      <c r="AB29" s="60"/>
      <c r="AC29" s="60"/>
      <c r="AD29" s="60"/>
      <c r="AE29" s="60"/>
      <c r="AF29" s="60"/>
      <c r="AG29" s="60"/>
      <c r="AH29" s="60"/>
      <c r="AI29" s="60"/>
      <c r="AJ29" s="60"/>
      <c r="AK29" s="60"/>
      <c r="AL29" s="60"/>
      <c r="AM29" s="60"/>
      <c r="AN29" s="60"/>
      <c r="AO29" s="60"/>
      <c r="AP29" s="60"/>
    </row>
    <row r="30" spans="1:42" ht="18" customHeight="1">
      <c r="A30" s="60" t="s">
        <v>98</v>
      </c>
      <c r="B30" s="496"/>
      <c r="C30" s="497"/>
      <c r="D30" s="497"/>
      <c r="E30" s="497"/>
      <c r="F30" s="497"/>
      <c r="G30" s="497"/>
      <c r="H30" s="419"/>
      <c r="I30" s="420"/>
      <c r="J30" s="60"/>
      <c r="K30" s="60"/>
      <c r="L30" s="60"/>
      <c r="N30" s="346">
        <f t="shared" si="0"/>
        <v>0</v>
      </c>
      <c r="O30" s="346">
        <f t="shared" si="1"/>
        <v>0</v>
      </c>
      <c r="P30" s="346">
        <f t="shared" si="2"/>
        <v>0</v>
      </c>
      <c r="Q30" s="346">
        <f t="shared" si="3"/>
        <v>0</v>
      </c>
      <c r="R30" s="347">
        <f t="shared" si="4"/>
        <v>0</v>
      </c>
      <c r="S30" s="347">
        <f t="shared" si="5"/>
        <v>0</v>
      </c>
      <c r="T30" s="347">
        <f t="shared" si="6"/>
        <v>0</v>
      </c>
      <c r="U30" s="60"/>
      <c r="V30" s="60"/>
      <c r="W30" s="60"/>
      <c r="X30" s="60"/>
      <c r="Y30" s="60"/>
      <c r="Z30" s="60"/>
      <c r="AA30" s="60"/>
      <c r="AB30" s="60"/>
      <c r="AC30" s="60"/>
      <c r="AD30" s="60"/>
      <c r="AE30" s="60"/>
      <c r="AF30" s="60"/>
      <c r="AG30" s="60"/>
      <c r="AH30" s="60"/>
      <c r="AI30" s="60"/>
      <c r="AJ30" s="60"/>
      <c r="AK30" s="60"/>
      <c r="AL30" s="60"/>
      <c r="AM30" s="60"/>
      <c r="AN30" s="60"/>
      <c r="AO30" s="60"/>
      <c r="AP30" s="60"/>
    </row>
    <row r="31" spans="1:42" ht="18" customHeight="1" outlineLevel="1">
      <c r="A31" s="60" t="s">
        <v>108</v>
      </c>
      <c r="B31" s="624" t="s">
        <v>108</v>
      </c>
      <c r="C31" s="421">
        <v>46056</v>
      </c>
      <c r="D31" s="422" t="s">
        <v>204</v>
      </c>
      <c r="E31" s="422" t="s">
        <v>207</v>
      </c>
      <c r="F31" s="422" t="s">
        <v>208</v>
      </c>
      <c r="G31" s="422" t="s">
        <v>209</v>
      </c>
      <c r="H31" s="423">
        <v>1078.75</v>
      </c>
      <c r="I31" s="422" t="s">
        <v>215</v>
      </c>
      <c r="J31" s="355"/>
      <c r="K31" s="355"/>
      <c r="L31" s="355"/>
      <c r="N31" s="346">
        <f t="shared" si="0"/>
        <v>0</v>
      </c>
      <c r="O31" s="346">
        <f t="shared" si="1"/>
        <v>0</v>
      </c>
      <c r="P31" s="346">
        <f t="shared" si="2"/>
        <v>0</v>
      </c>
      <c r="Q31" s="346">
        <f t="shared" si="3"/>
        <v>0</v>
      </c>
      <c r="R31" s="347">
        <f t="shared" si="4"/>
        <v>0</v>
      </c>
      <c r="S31" s="347">
        <f t="shared" si="5"/>
        <v>0</v>
      </c>
      <c r="T31" s="347">
        <f t="shared" si="6"/>
        <v>1078.75</v>
      </c>
      <c r="U31" s="60"/>
      <c r="V31" s="60"/>
      <c r="W31" s="60"/>
      <c r="X31" s="60"/>
      <c r="Y31" s="60"/>
      <c r="Z31" s="60"/>
      <c r="AA31" s="60"/>
      <c r="AB31" s="60"/>
      <c r="AC31" s="60"/>
      <c r="AD31" s="60"/>
      <c r="AE31" s="60"/>
      <c r="AF31" s="60"/>
      <c r="AG31" s="60"/>
      <c r="AH31" s="60"/>
      <c r="AI31" s="60"/>
      <c r="AJ31" s="60"/>
      <c r="AK31" s="60"/>
      <c r="AL31" s="60"/>
      <c r="AM31" s="60"/>
      <c r="AN31" s="60"/>
      <c r="AO31" s="60"/>
      <c r="AP31" s="60"/>
    </row>
    <row r="32" spans="1:42" ht="18" customHeight="1" outlineLevel="1">
      <c r="A32" s="60" t="s">
        <v>108</v>
      </c>
      <c r="B32" s="627"/>
      <c r="C32" s="379">
        <v>46056</v>
      </c>
      <c r="D32" s="379" t="s">
        <v>100</v>
      </c>
      <c r="E32" s="380" t="s">
        <v>503</v>
      </c>
      <c r="F32" s="380" t="s">
        <v>209</v>
      </c>
      <c r="G32" s="380" t="s">
        <v>210</v>
      </c>
      <c r="H32" s="381">
        <v>150</v>
      </c>
      <c r="I32" s="380" t="s">
        <v>34</v>
      </c>
      <c r="J32" s="355"/>
      <c r="K32" s="355"/>
      <c r="L32" s="355"/>
      <c r="N32" s="346">
        <f t="shared" si="0"/>
        <v>150</v>
      </c>
      <c r="O32" s="346">
        <f t="shared" si="1"/>
        <v>0</v>
      </c>
      <c r="P32" s="346">
        <f t="shared" si="2"/>
        <v>0</v>
      </c>
      <c r="Q32" s="346">
        <f t="shared" si="3"/>
        <v>0</v>
      </c>
      <c r="R32" s="347">
        <f t="shared" si="4"/>
        <v>0</v>
      </c>
      <c r="S32" s="347">
        <f t="shared" si="5"/>
        <v>0</v>
      </c>
      <c r="T32" s="347">
        <f t="shared" si="6"/>
        <v>0</v>
      </c>
      <c r="U32" s="60"/>
      <c r="V32" s="60"/>
      <c r="W32" s="60"/>
      <c r="X32" s="60"/>
      <c r="Y32" s="60"/>
      <c r="Z32" s="60"/>
      <c r="AA32" s="60"/>
      <c r="AB32" s="60"/>
      <c r="AC32" s="60"/>
      <c r="AD32" s="60"/>
      <c r="AE32" s="60"/>
      <c r="AF32" s="60"/>
      <c r="AG32" s="60"/>
      <c r="AH32" s="60"/>
      <c r="AI32" s="60"/>
      <c r="AJ32" s="60"/>
      <c r="AK32" s="60"/>
      <c r="AL32" s="60"/>
      <c r="AM32" s="60"/>
      <c r="AN32" s="60"/>
      <c r="AO32" s="60"/>
      <c r="AP32" s="60"/>
    </row>
    <row r="33" spans="1:42" ht="18" customHeight="1" outlineLevel="1">
      <c r="A33" s="60" t="s">
        <v>108</v>
      </c>
      <c r="B33" s="627"/>
      <c r="C33" s="379">
        <v>46056</v>
      </c>
      <c r="D33" s="379" t="s">
        <v>201</v>
      </c>
      <c r="E33" s="380" t="s">
        <v>205</v>
      </c>
      <c r="F33" s="380" t="s">
        <v>209</v>
      </c>
      <c r="G33" s="380" t="s">
        <v>210</v>
      </c>
      <c r="H33" s="381">
        <v>375</v>
      </c>
      <c r="I33" s="380" t="s">
        <v>217</v>
      </c>
      <c r="J33" s="355"/>
      <c r="K33" s="355"/>
      <c r="L33" s="355"/>
      <c r="N33" s="346">
        <f t="shared" si="0"/>
        <v>0</v>
      </c>
      <c r="O33" s="346">
        <f t="shared" si="1"/>
        <v>0</v>
      </c>
      <c r="P33" s="346">
        <f t="shared" si="2"/>
        <v>0</v>
      </c>
      <c r="Q33" s="346">
        <f t="shared" si="3"/>
        <v>0</v>
      </c>
      <c r="R33" s="347">
        <f t="shared" si="4"/>
        <v>375</v>
      </c>
      <c r="S33" s="347">
        <f t="shared" si="5"/>
        <v>0</v>
      </c>
      <c r="T33" s="347">
        <f t="shared" si="6"/>
        <v>0</v>
      </c>
      <c r="U33" s="60"/>
      <c r="V33" s="60"/>
      <c r="W33" s="60"/>
      <c r="X33" s="60"/>
      <c r="Y33" s="60"/>
      <c r="Z33" s="60"/>
      <c r="AA33" s="60"/>
      <c r="AB33" s="60"/>
      <c r="AC33" s="60"/>
      <c r="AD33" s="60"/>
      <c r="AE33" s="60"/>
      <c r="AF33" s="60"/>
      <c r="AG33" s="60"/>
      <c r="AH33" s="60"/>
      <c r="AI33" s="60"/>
      <c r="AJ33" s="60"/>
      <c r="AK33" s="60"/>
      <c r="AL33" s="60"/>
      <c r="AM33" s="60"/>
      <c r="AN33" s="60"/>
      <c r="AO33" s="60"/>
      <c r="AP33" s="60"/>
    </row>
    <row r="34" spans="1:42" ht="18" customHeight="1" outlineLevel="1">
      <c r="A34" s="60" t="s">
        <v>108</v>
      </c>
      <c r="B34" s="627"/>
      <c r="C34" s="379">
        <v>46056</v>
      </c>
      <c r="D34" s="379" t="s">
        <v>202</v>
      </c>
      <c r="E34" s="380" t="s">
        <v>211</v>
      </c>
      <c r="F34" s="380" t="s">
        <v>209</v>
      </c>
      <c r="G34" s="380" t="s">
        <v>211</v>
      </c>
      <c r="H34" s="381">
        <v>200</v>
      </c>
      <c r="I34" s="380" t="s">
        <v>216</v>
      </c>
      <c r="J34" s="355"/>
      <c r="K34" s="355"/>
      <c r="L34" s="355"/>
      <c r="N34" s="346">
        <f t="shared" si="0"/>
        <v>0</v>
      </c>
      <c r="O34" s="346">
        <f t="shared" si="1"/>
        <v>0</v>
      </c>
      <c r="P34" s="346">
        <f t="shared" si="2"/>
        <v>0</v>
      </c>
      <c r="Q34" s="346">
        <f t="shared" si="3"/>
        <v>0</v>
      </c>
      <c r="R34" s="347">
        <f t="shared" si="4"/>
        <v>0</v>
      </c>
      <c r="S34" s="347">
        <f t="shared" si="5"/>
        <v>200</v>
      </c>
      <c r="T34" s="347">
        <f t="shared" si="6"/>
        <v>0</v>
      </c>
      <c r="U34" s="60"/>
      <c r="V34" s="60"/>
      <c r="W34" s="60"/>
      <c r="X34" s="60"/>
      <c r="Y34" s="60"/>
      <c r="Z34" s="60"/>
      <c r="AA34" s="60"/>
      <c r="AB34" s="60"/>
      <c r="AC34" s="60"/>
      <c r="AD34" s="60"/>
      <c r="AE34" s="60"/>
      <c r="AF34" s="60"/>
      <c r="AG34" s="60"/>
      <c r="AH34" s="60"/>
      <c r="AI34" s="60"/>
      <c r="AJ34" s="60"/>
      <c r="AK34" s="60"/>
      <c r="AL34" s="60"/>
      <c r="AM34" s="60"/>
      <c r="AN34" s="60"/>
      <c r="AO34" s="60"/>
      <c r="AP34" s="60"/>
    </row>
    <row r="35" spans="1:42" ht="18" customHeight="1" outlineLevel="1">
      <c r="A35" s="60" t="s">
        <v>108</v>
      </c>
      <c r="B35" s="627"/>
      <c r="C35" s="379">
        <v>46057</v>
      </c>
      <c r="D35" s="379" t="s">
        <v>203</v>
      </c>
      <c r="E35" s="380" t="s">
        <v>218</v>
      </c>
      <c r="F35" s="380" t="s">
        <v>209</v>
      </c>
      <c r="G35" s="380" t="s">
        <v>212</v>
      </c>
      <c r="H35" s="381">
        <v>15</v>
      </c>
      <c r="I35" s="380" t="s">
        <v>218</v>
      </c>
      <c r="J35" s="355"/>
      <c r="K35" s="355"/>
      <c r="L35" s="355"/>
      <c r="N35" s="346">
        <f t="shared" si="0"/>
        <v>0</v>
      </c>
      <c r="O35" s="346">
        <f t="shared" si="1"/>
        <v>0</v>
      </c>
      <c r="P35" s="346">
        <f t="shared" si="2"/>
        <v>0</v>
      </c>
      <c r="Q35" s="346">
        <f t="shared" si="3"/>
        <v>15</v>
      </c>
      <c r="R35" s="347">
        <f t="shared" si="4"/>
        <v>0</v>
      </c>
      <c r="S35" s="347">
        <f t="shared" si="5"/>
        <v>0</v>
      </c>
      <c r="T35" s="347">
        <f t="shared" si="6"/>
        <v>0</v>
      </c>
      <c r="U35" s="60"/>
      <c r="V35" s="60"/>
      <c r="W35" s="60"/>
      <c r="X35" s="60"/>
      <c r="Y35" s="60"/>
      <c r="Z35" s="60"/>
      <c r="AA35" s="60"/>
      <c r="AB35" s="60"/>
      <c r="AC35" s="60"/>
      <c r="AD35" s="60"/>
      <c r="AE35" s="60"/>
      <c r="AF35" s="60"/>
      <c r="AG35" s="60"/>
      <c r="AH35" s="60"/>
      <c r="AI35" s="60"/>
      <c r="AJ35" s="60"/>
      <c r="AK35" s="60"/>
      <c r="AL35" s="60"/>
      <c r="AM35" s="60"/>
      <c r="AN35" s="60"/>
      <c r="AO35" s="60"/>
      <c r="AP35" s="60"/>
    </row>
    <row r="36" spans="1:42" ht="18" customHeight="1" outlineLevel="1">
      <c r="A36" s="60" t="s">
        <v>108</v>
      </c>
      <c r="B36" s="627"/>
      <c r="C36" s="379">
        <v>46057</v>
      </c>
      <c r="D36" s="379" t="s">
        <v>228</v>
      </c>
      <c r="E36" s="380" t="s">
        <v>504</v>
      </c>
      <c r="F36" s="380" t="s">
        <v>209</v>
      </c>
      <c r="G36" s="380" t="s">
        <v>222</v>
      </c>
      <c r="H36" s="381">
        <v>80</v>
      </c>
      <c r="I36" s="380" t="s">
        <v>519</v>
      </c>
      <c r="J36" s="355"/>
      <c r="K36" s="355"/>
      <c r="L36" s="355"/>
      <c r="N36" s="346">
        <f t="shared" si="0"/>
        <v>80</v>
      </c>
      <c r="O36" s="346">
        <f t="shared" si="1"/>
        <v>0</v>
      </c>
      <c r="P36" s="346">
        <f t="shared" si="2"/>
        <v>0</v>
      </c>
      <c r="Q36" s="346">
        <f t="shared" si="3"/>
        <v>0</v>
      </c>
      <c r="R36" s="347">
        <f t="shared" si="4"/>
        <v>0</v>
      </c>
      <c r="S36" s="347">
        <f t="shared" si="5"/>
        <v>0</v>
      </c>
      <c r="T36" s="347">
        <f t="shared" si="6"/>
        <v>0</v>
      </c>
      <c r="U36" s="60"/>
      <c r="V36" s="60"/>
      <c r="W36" s="60"/>
      <c r="X36" s="60"/>
      <c r="Y36" s="60"/>
      <c r="Z36" s="60"/>
      <c r="AA36" s="60"/>
      <c r="AB36" s="60"/>
      <c r="AC36" s="60"/>
      <c r="AD36" s="60"/>
      <c r="AE36" s="60"/>
      <c r="AF36" s="60"/>
      <c r="AG36" s="60"/>
      <c r="AH36" s="60"/>
      <c r="AI36" s="60"/>
      <c r="AJ36" s="60"/>
      <c r="AK36" s="60"/>
      <c r="AL36" s="60"/>
      <c r="AM36" s="60"/>
      <c r="AN36" s="60"/>
      <c r="AO36" s="60"/>
      <c r="AP36" s="60"/>
    </row>
    <row r="37" spans="1:42" ht="18" customHeight="1" outlineLevel="1">
      <c r="A37" s="60" t="s">
        <v>108</v>
      </c>
      <c r="B37" s="627"/>
      <c r="C37" s="379">
        <v>46057</v>
      </c>
      <c r="D37" s="379" t="s">
        <v>107</v>
      </c>
      <c r="E37" s="380" t="s">
        <v>478</v>
      </c>
      <c r="F37" s="380" t="s">
        <v>209</v>
      </c>
      <c r="G37" s="380" t="s">
        <v>549</v>
      </c>
      <c r="H37" s="381">
        <v>130</v>
      </c>
      <c r="I37" s="380" t="s">
        <v>224</v>
      </c>
      <c r="J37" s="355"/>
      <c r="K37" s="355"/>
      <c r="L37" s="355"/>
      <c r="N37" s="346">
        <f t="shared" si="0"/>
        <v>0</v>
      </c>
      <c r="O37" s="346">
        <f t="shared" si="1"/>
        <v>0</v>
      </c>
      <c r="P37" s="346">
        <f t="shared" si="2"/>
        <v>130</v>
      </c>
      <c r="Q37" s="346">
        <f t="shared" si="3"/>
        <v>0</v>
      </c>
      <c r="R37" s="347">
        <f t="shared" si="4"/>
        <v>0</v>
      </c>
      <c r="S37" s="347">
        <f t="shared" si="5"/>
        <v>0</v>
      </c>
      <c r="T37" s="347">
        <f t="shared" si="6"/>
        <v>0</v>
      </c>
      <c r="U37" s="60"/>
      <c r="V37" s="60"/>
      <c r="W37" s="60"/>
      <c r="X37" s="60"/>
      <c r="Y37" s="60"/>
      <c r="Z37" s="60"/>
      <c r="AA37" s="60"/>
      <c r="AB37" s="60"/>
      <c r="AC37" s="60"/>
      <c r="AD37" s="60"/>
      <c r="AE37" s="60"/>
      <c r="AF37" s="60"/>
      <c r="AG37" s="60"/>
      <c r="AH37" s="60"/>
      <c r="AI37" s="60"/>
      <c r="AJ37" s="60"/>
      <c r="AK37" s="60"/>
      <c r="AL37" s="60"/>
      <c r="AM37" s="60"/>
      <c r="AN37" s="60"/>
      <c r="AO37" s="60"/>
      <c r="AP37" s="60"/>
    </row>
    <row r="38" spans="1:42" ht="18" customHeight="1" outlineLevel="1">
      <c r="A38" s="60" t="s">
        <v>108</v>
      </c>
      <c r="B38" s="627"/>
      <c r="C38" s="379">
        <v>46061</v>
      </c>
      <c r="D38" s="380" t="s">
        <v>202</v>
      </c>
      <c r="E38" s="380" t="s">
        <v>211</v>
      </c>
      <c r="F38" s="380" t="s">
        <v>209</v>
      </c>
      <c r="G38" s="380" t="s">
        <v>211</v>
      </c>
      <c r="H38" s="381">
        <v>50</v>
      </c>
      <c r="I38" s="380" t="s">
        <v>216</v>
      </c>
      <c r="J38" s="355"/>
      <c r="K38" s="355"/>
      <c r="L38" s="355"/>
      <c r="N38" s="346">
        <f t="shared" si="0"/>
        <v>0</v>
      </c>
      <c r="O38" s="346">
        <f t="shared" si="1"/>
        <v>0</v>
      </c>
      <c r="P38" s="346">
        <f t="shared" si="2"/>
        <v>0</v>
      </c>
      <c r="Q38" s="346">
        <f t="shared" si="3"/>
        <v>0</v>
      </c>
      <c r="R38" s="347">
        <f t="shared" si="4"/>
        <v>0</v>
      </c>
      <c r="S38" s="347">
        <f t="shared" si="5"/>
        <v>50</v>
      </c>
      <c r="T38" s="347">
        <f t="shared" si="6"/>
        <v>0</v>
      </c>
      <c r="U38" s="60"/>
      <c r="V38" s="60"/>
      <c r="W38" s="60"/>
      <c r="X38" s="60"/>
      <c r="Y38" s="60"/>
      <c r="Z38" s="60"/>
      <c r="AA38" s="60"/>
      <c r="AB38" s="60"/>
      <c r="AC38" s="60"/>
      <c r="AD38" s="60"/>
      <c r="AE38" s="60"/>
      <c r="AF38" s="60"/>
      <c r="AG38" s="60"/>
      <c r="AH38" s="60"/>
      <c r="AI38" s="60"/>
      <c r="AJ38" s="60"/>
      <c r="AK38" s="60"/>
      <c r="AL38" s="60"/>
      <c r="AM38" s="60"/>
      <c r="AN38" s="60"/>
      <c r="AO38" s="60"/>
      <c r="AP38" s="60"/>
    </row>
    <row r="39" spans="1:42" ht="18" customHeight="1" outlineLevel="1">
      <c r="A39" s="60" t="s">
        <v>108</v>
      </c>
      <c r="B39" s="627"/>
      <c r="C39" s="382">
        <v>46062</v>
      </c>
      <c r="D39" s="383" t="s">
        <v>229</v>
      </c>
      <c r="E39" s="383" t="s">
        <v>504</v>
      </c>
      <c r="F39" s="383" t="s">
        <v>209</v>
      </c>
      <c r="G39" s="383" t="s">
        <v>222</v>
      </c>
      <c r="H39" s="384">
        <v>7.63</v>
      </c>
      <c r="I39" s="383" t="s">
        <v>517</v>
      </c>
      <c r="J39" s="355"/>
      <c r="K39" s="355"/>
      <c r="L39" s="355"/>
      <c r="N39" s="346">
        <f t="shared" si="0"/>
        <v>7.63</v>
      </c>
      <c r="O39" s="346">
        <f t="shared" si="1"/>
        <v>0</v>
      </c>
      <c r="P39" s="346">
        <f t="shared" si="2"/>
        <v>0</v>
      </c>
      <c r="Q39" s="346">
        <f t="shared" si="3"/>
        <v>0</v>
      </c>
      <c r="R39" s="347">
        <f t="shared" si="4"/>
        <v>0</v>
      </c>
      <c r="S39" s="347">
        <f t="shared" si="5"/>
        <v>0</v>
      </c>
      <c r="T39" s="347">
        <f t="shared" si="6"/>
        <v>0</v>
      </c>
      <c r="U39" s="60"/>
      <c r="V39" s="60"/>
      <c r="W39" s="60"/>
      <c r="X39" s="60"/>
      <c r="Y39" s="60"/>
      <c r="Z39" s="60"/>
      <c r="AA39" s="60"/>
      <c r="AB39" s="60"/>
      <c r="AC39" s="60"/>
      <c r="AD39" s="60"/>
      <c r="AE39" s="60"/>
      <c r="AF39" s="60"/>
      <c r="AG39" s="60"/>
      <c r="AH39" s="60"/>
      <c r="AI39" s="60"/>
      <c r="AJ39" s="60"/>
      <c r="AK39" s="60"/>
      <c r="AL39" s="60"/>
      <c r="AM39" s="60"/>
      <c r="AN39" s="60"/>
      <c r="AO39" s="60"/>
      <c r="AP39" s="60"/>
    </row>
    <row r="40" spans="1:42" ht="18" customHeight="1">
      <c r="A40" s="60" t="s">
        <v>108</v>
      </c>
      <c r="B40" s="385"/>
      <c r="C40" s="386"/>
      <c r="D40" s="387"/>
      <c r="E40" s="387"/>
      <c r="F40" s="387"/>
      <c r="G40" s="387"/>
      <c r="H40" s="388"/>
      <c r="I40" s="389"/>
      <c r="J40" s="355"/>
      <c r="K40" s="355"/>
      <c r="L40" s="355"/>
      <c r="N40" s="346">
        <f t="shared" si="0"/>
        <v>0</v>
      </c>
      <c r="O40" s="346">
        <f t="shared" si="1"/>
        <v>0</v>
      </c>
      <c r="P40" s="346">
        <f t="shared" si="2"/>
        <v>0</v>
      </c>
      <c r="Q40" s="346">
        <f t="shared" si="3"/>
        <v>0</v>
      </c>
      <c r="R40" s="347">
        <f t="shared" si="4"/>
        <v>0</v>
      </c>
      <c r="S40" s="347">
        <f t="shared" si="5"/>
        <v>0</v>
      </c>
      <c r="T40" s="347">
        <f t="shared" si="6"/>
        <v>0</v>
      </c>
      <c r="U40" s="60"/>
      <c r="V40" s="60"/>
      <c r="W40" s="60"/>
      <c r="X40" s="60"/>
      <c r="Y40" s="60"/>
      <c r="Z40" s="60"/>
      <c r="AA40" s="60"/>
      <c r="AB40" s="60"/>
      <c r="AC40" s="60"/>
      <c r="AD40" s="60"/>
      <c r="AE40" s="60"/>
      <c r="AF40" s="60"/>
      <c r="AG40" s="60"/>
      <c r="AH40" s="60"/>
      <c r="AI40" s="60"/>
      <c r="AJ40" s="60"/>
      <c r="AK40" s="60"/>
      <c r="AL40" s="60"/>
      <c r="AM40" s="60"/>
      <c r="AN40" s="60"/>
      <c r="AO40" s="60"/>
      <c r="AP40" s="60"/>
    </row>
    <row r="41" spans="1:42" ht="18" customHeight="1">
      <c r="A41" s="60" t="s">
        <v>108</v>
      </c>
      <c r="B41" s="630" t="s">
        <v>254</v>
      </c>
      <c r="C41" s="631"/>
      <c r="D41" s="631"/>
      <c r="E41" s="631"/>
      <c r="F41" s="631"/>
      <c r="G41" s="632"/>
      <c r="H41" s="395">
        <f>SUMIF(E31:E39,"Income",H31:H39)</f>
        <v>1078.75</v>
      </c>
      <c r="I41" s="396"/>
      <c r="J41" s="355"/>
      <c r="K41" s="355"/>
      <c r="L41" s="355"/>
      <c r="N41" s="346">
        <f t="shared" si="0"/>
        <v>0</v>
      </c>
      <c r="O41" s="346">
        <f t="shared" si="1"/>
        <v>0</v>
      </c>
      <c r="P41" s="346">
        <f t="shared" si="2"/>
        <v>0</v>
      </c>
      <c r="Q41" s="346">
        <f t="shared" si="3"/>
        <v>0</v>
      </c>
      <c r="R41" s="347">
        <f t="shared" si="4"/>
        <v>0</v>
      </c>
      <c r="S41" s="347">
        <f t="shared" si="5"/>
        <v>0</v>
      </c>
      <c r="T41" s="347">
        <f t="shared" si="6"/>
        <v>0</v>
      </c>
      <c r="U41" s="60"/>
      <c r="V41" s="60"/>
      <c r="W41" s="60"/>
      <c r="X41" s="60"/>
      <c r="Y41" s="60"/>
      <c r="Z41" s="60"/>
      <c r="AA41" s="60"/>
      <c r="AB41" s="60"/>
      <c r="AC41" s="60"/>
      <c r="AD41" s="60"/>
      <c r="AE41" s="60"/>
      <c r="AF41" s="60"/>
      <c r="AG41" s="60"/>
      <c r="AH41" s="60"/>
      <c r="AI41" s="60"/>
      <c r="AJ41" s="60"/>
      <c r="AK41" s="60"/>
      <c r="AL41" s="60"/>
      <c r="AM41" s="60"/>
      <c r="AN41" s="60"/>
      <c r="AO41" s="60"/>
      <c r="AP41" s="60"/>
    </row>
    <row r="42" spans="1:42" ht="18" customHeight="1">
      <c r="A42" s="60" t="s">
        <v>108</v>
      </c>
      <c r="B42" s="397"/>
      <c r="C42" s="398"/>
      <c r="D42" s="398"/>
      <c r="E42" s="398"/>
      <c r="F42" s="629" t="s">
        <v>354</v>
      </c>
      <c r="G42" s="613"/>
      <c r="H42" s="399">
        <f>SUMIF(E31:E39,"Joint Account",H31:H39)</f>
        <v>250</v>
      </c>
      <c r="I42" s="400"/>
      <c r="J42" s="355"/>
      <c r="K42" s="355"/>
      <c r="L42" s="355"/>
      <c r="N42" s="346">
        <f t="shared" si="0"/>
        <v>0</v>
      </c>
      <c r="O42" s="346">
        <f t="shared" si="1"/>
        <v>0</v>
      </c>
      <c r="P42" s="346">
        <f t="shared" si="2"/>
        <v>0</v>
      </c>
      <c r="Q42" s="346">
        <f t="shared" si="3"/>
        <v>0</v>
      </c>
      <c r="R42" s="347">
        <f t="shared" si="4"/>
        <v>0</v>
      </c>
      <c r="S42" s="347">
        <f t="shared" si="5"/>
        <v>0</v>
      </c>
      <c r="T42" s="347">
        <f t="shared" si="6"/>
        <v>0</v>
      </c>
      <c r="U42" s="60"/>
      <c r="V42" s="60"/>
      <c r="W42" s="60"/>
      <c r="X42" s="60"/>
      <c r="Y42" s="60"/>
      <c r="Z42" s="60"/>
      <c r="AA42" s="60"/>
      <c r="AB42" s="60"/>
      <c r="AC42" s="60"/>
      <c r="AD42" s="60"/>
      <c r="AE42" s="60"/>
      <c r="AF42" s="60"/>
      <c r="AG42" s="60"/>
      <c r="AH42" s="60"/>
      <c r="AI42" s="60"/>
      <c r="AJ42" s="60"/>
      <c r="AK42" s="60"/>
      <c r="AL42" s="60"/>
      <c r="AM42" s="60"/>
      <c r="AN42" s="60"/>
      <c r="AO42" s="60"/>
      <c r="AP42" s="60"/>
    </row>
    <row r="43" spans="1:42" ht="18" customHeight="1">
      <c r="A43" s="60" t="s">
        <v>108</v>
      </c>
      <c r="B43" s="616" t="s">
        <v>226</v>
      </c>
      <c r="C43" s="612"/>
      <c r="D43" s="612"/>
      <c r="E43" s="612"/>
      <c r="F43" s="612"/>
      <c r="G43" s="613"/>
      <c r="H43" s="404">
        <f>SUMIF(E31:E39,"Recurring Expense",H31:H39)</f>
        <v>150</v>
      </c>
      <c r="I43" s="406"/>
      <c r="J43" s="60"/>
      <c r="K43" s="60"/>
      <c r="L43" s="60"/>
      <c r="N43" s="346">
        <f t="shared" si="0"/>
        <v>0</v>
      </c>
      <c r="O43" s="346">
        <f t="shared" si="1"/>
        <v>0</v>
      </c>
      <c r="P43" s="346">
        <f t="shared" si="2"/>
        <v>0</v>
      </c>
      <c r="Q43" s="346">
        <f t="shared" si="3"/>
        <v>0</v>
      </c>
      <c r="R43" s="347">
        <f t="shared" si="4"/>
        <v>0</v>
      </c>
      <c r="S43" s="347">
        <f t="shared" si="5"/>
        <v>0</v>
      </c>
      <c r="T43" s="347">
        <f t="shared" si="6"/>
        <v>0</v>
      </c>
      <c r="U43" s="60"/>
      <c r="V43" s="60"/>
      <c r="W43" s="60"/>
      <c r="X43" s="60"/>
      <c r="Y43" s="60"/>
      <c r="Z43" s="60"/>
      <c r="AA43" s="60"/>
      <c r="AB43" s="60"/>
      <c r="AC43" s="60"/>
      <c r="AD43" s="60"/>
      <c r="AE43" s="60"/>
      <c r="AF43" s="60"/>
      <c r="AG43" s="60"/>
      <c r="AH43" s="60"/>
      <c r="AI43" s="60"/>
      <c r="AJ43" s="60"/>
      <c r="AK43" s="60"/>
      <c r="AL43" s="60"/>
      <c r="AM43" s="60"/>
      <c r="AN43" s="60"/>
      <c r="AO43" s="60"/>
      <c r="AP43" s="60"/>
    </row>
    <row r="44" spans="1:42" ht="18" customHeight="1">
      <c r="A44" s="60" t="s">
        <v>108</v>
      </c>
      <c r="B44" s="616" t="s">
        <v>227</v>
      </c>
      <c r="C44" s="612"/>
      <c r="D44" s="612"/>
      <c r="E44" s="612"/>
      <c r="F44" s="612"/>
      <c r="G44" s="613"/>
      <c r="H44" s="404">
        <f>SUMIF(E31:E39,"Investment",H31:H39)</f>
        <v>15</v>
      </c>
      <c r="I44" s="406"/>
      <c r="J44" s="60"/>
      <c r="K44" s="60"/>
      <c r="L44" s="60"/>
      <c r="N44" s="346">
        <f t="shared" si="0"/>
        <v>0</v>
      </c>
      <c r="O44" s="346">
        <f t="shared" si="1"/>
        <v>0</v>
      </c>
      <c r="P44" s="346">
        <f t="shared" si="2"/>
        <v>0</v>
      </c>
      <c r="Q44" s="346">
        <f t="shared" si="3"/>
        <v>0</v>
      </c>
      <c r="R44" s="347">
        <f t="shared" si="4"/>
        <v>0</v>
      </c>
      <c r="S44" s="347">
        <f t="shared" si="5"/>
        <v>0</v>
      </c>
      <c r="T44" s="347">
        <f t="shared" si="6"/>
        <v>0</v>
      </c>
      <c r="U44" s="60"/>
      <c r="V44" s="60"/>
      <c r="W44" s="60"/>
      <c r="X44" s="60"/>
      <c r="Y44" s="60"/>
      <c r="Z44" s="60"/>
      <c r="AA44" s="60"/>
      <c r="AB44" s="60"/>
      <c r="AC44" s="60"/>
      <c r="AD44" s="60"/>
      <c r="AE44" s="60"/>
      <c r="AF44" s="60"/>
      <c r="AG44" s="60"/>
      <c r="AH44" s="60"/>
      <c r="AI44" s="60"/>
      <c r="AJ44" s="60"/>
      <c r="AK44" s="60"/>
      <c r="AL44" s="60"/>
      <c r="AM44" s="60"/>
      <c r="AN44" s="60"/>
      <c r="AO44" s="60"/>
      <c r="AP44" s="60"/>
    </row>
    <row r="45" spans="1:42" ht="18" customHeight="1">
      <c r="A45" s="60" t="s">
        <v>108</v>
      </c>
      <c r="B45" s="616" t="s">
        <v>250</v>
      </c>
      <c r="C45" s="612"/>
      <c r="D45" s="612"/>
      <c r="E45" s="612"/>
      <c r="F45" s="612"/>
      <c r="G45" s="613"/>
      <c r="H45" s="407">
        <f>SUMIF(E31:E39,"Saving Allocation",H31:H39)</f>
        <v>130</v>
      </c>
      <c r="I45" s="408"/>
      <c r="J45" s="60"/>
      <c r="K45" s="60"/>
      <c r="L45" s="60"/>
      <c r="N45" s="346">
        <f t="shared" si="0"/>
        <v>0</v>
      </c>
      <c r="O45" s="346">
        <f t="shared" si="1"/>
        <v>0</v>
      </c>
      <c r="P45" s="346">
        <f t="shared" si="2"/>
        <v>0</v>
      </c>
      <c r="Q45" s="346">
        <f t="shared" si="3"/>
        <v>0</v>
      </c>
      <c r="R45" s="347">
        <f t="shared" si="4"/>
        <v>0</v>
      </c>
      <c r="S45" s="347">
        <f t="shared" si="5"/>
        <v>0</v>
      </c>
      <c r="T45" s="347">
        <f t="shared" si="6"/>
        <v>0</v>
      </c>
      <c r="U45" s="60"/>
      <c r="V45" s="60"/>
      <c r="W45" s="60"/>
      <c r="X45" s="60"/>
      <c r="Y45" s="60"/>
      <c r="Z45" s="60"/>
      <c r="AA45" s="60"/>
      <c r="AB45" s="60"/>
      <c r="AC45" s="60"/>
      <c r="AD45" s="60"/>
      <c r="AE45" s="60"/>
      <c r="AF45" s="60"/>
      <c r="AG45" s="60"/>
      <c r="AH45" s="60"/>
      <c r="AI45" s="60"/>
      <c r="AJ45" s="60"/>
      <c r="AK45" s="60"/>
      <c r="AL45" s="60"/>
      <c r="AM45" s="60"/>
      <c r="AN45" s="60"/>
      <c r="AO45" s="60"/>
      <c r="AP45" s="60"/>
    </row>
    <row r="46" spans="1:42" ht="18" customHeight="1">
      <c r="A46" s="60" t="s">
        <v>108</v>
      </c>
      <c r="B46" s="616" t="s">
        <v>251</v>
      </c>
      <c r="C46" s="612"/>
      <c r="D46" s="612"/>
      <c r="E46" s="612"/>
      <c r="F46" s="612"/>
      <c r="G46" s="613"/>
      <c r="H46" s="407">
        <f>SUMIF(E31:E39,"Personal Expense",H31:H39)</f>
        <v>87.63</v>
      </c>
      <c r="I46" s="408"/>
      <c r="J46" s="60"/>
      <c r="K46" s="60"/>
      <c r="L46" s="60"/>
      <c r="N46" s="346">
        <f t="shared" si="0"/>
        <v>0</v>
      </c>
      <c r="O46" s="346">
        <f t="shared" si="1"/>
        <v>0</v>
      </c>
      <c r="P46" s="346">
        <f t="shared" si="2"/>
        <v>0</v>
      </c>
      <c r="Q46" s="346">
        <f t="shared" si="3"/>
        <v>0</v>
      </c>
      <c r="R46" s="347">
        <f t="shared" si="4"/>
        <v>0</v>
      </c>
      <c r="S46" s="347">
        <f t="shared" si="5"/>
        <v>0</v>
      </c>
      <c r="T46" s="347">
        <f t="shared" si="6"/>
        <v>0</v>
      </c>
      <c r="U46" s="60"/>
      <c r="V46" s="60"/>
      <c r="W46" s="60"/>
      <c r="X46" s="60"/>
      <c r="Y46" s="60"/>
      <c r="Z46" s="60"/>
      <c r="AA46" s="60"/>
      <c r="AB46" s="60"/>
      <c r="AC46" s="60"/>
      <c r="AD46" s="60"/>
      <c r="AE46" s="60"/>
      <c r="AF46" s="60"/>
      <c r="AG46" s="60"/>
      <c r="AH46" s="60"/>
      <c r="AI46" s="60"/>
      <c r="AJ46" s="60"/>
      <c r="AK46" s="60"/>
      <c r="AL46" s="60"/>
      <c r="AM46" s="60"/>
      <c r="AN46" s="60"/>
      <c r="AO46" s="60"/>
      <c r="AP46" s="60"/>
    </row>
    <row r="47" spans="1:42" ht="18" customHeight="1">
      <c r="A47" s="60" t="s">
        <v>108</v>
      </c>
      <c r="B47" s="401"/>
      <c r="C47" s="402"/>
      <c r="D47" s="402"/>
      <c r="E47" s="402"/>
      <c r="F47" s="402"/>
      <c r="G47" s="410" t="s">
        <v>495</v>
      </c>
      <c r="H47" s="407">
        <f>SUMIF(E31:E39,"Debt Repayment",H31:H39)</f>
        <v>375</v>
      </c>
      <c r="I47" s="408"/>
      <c r="J47" s="60"/>
      <c r="K47" s="60"/>
      <c r="L47" s="60"/>
      <c r="N47" s="346">
        <f t="shared" si="0"/>
        <v>0</v>
      </c>
      <c r="O47" s="346">
        <f t="shared" si="1"/>
        <v>0</v>
      </c>
      <c r="P47" s="346">
        <f t="shared" si="2"/>
        <v>0</v>
      </c>
      <c r="Q47" s="346">
        <f t="shared" si="3"/>
        <v>0</v>
      </c>
      <c r="R47" s="347">
        <f t="shared" si="4"/>
        <v>0</v>
      </c>
      <c r="S47" s="347">
        <f t="shared" si="5"/>
        <v>0</v>
      </c>
      <c r="T47" s="347">
        <f t="shared" si="6"/>
        <v>0</v>
      </c>
      <c r="U47" s="60"/>
      <c r="V47" s="60"/>
      <c r="W47" s="60"/>
      <c r="X47" s="60"/>
      <c r="Y47" s="60"/>
      <c r="Z47" s="60"/>
      <c r="AA47" s="60"/>
      <c r="AB47" s="60"/>
      <c r="AC47" s="60"/>
      <c r="AD47" s="60"/>
      <c r="AE47" s="60"/>
      <c r="AF47" s="60"/>
      <c r="AG47" s="60"/>
      <c r="AH47" s="60"/>
      <c r="AI47" s="60"/>
      <c r="AJ47" s="60"/>
      <c r="AK47" s="60"/>
      <c r="AL47" s="60"/>
      <c r="AM47" s="60"/>
      <c r="AN47" s="60"/>
      <c r="AO47" s="60"/>
      <c r="AP47" s="60"/>
    </row>
    <row r="48" spans="1:42" ht="18" customHeight="1">
      <c r="A48" s="60" t="s">
        <v>108</v>
      </c>
      <c r="B48" s="415"/>
      <c r="C48" s="416"/>
      <c r="D48" s="416"/>
      <c r="E48" s="416"/>
      <c r="F48" s="416"/>
      <c r="G48" s="416" t="s">
        <v>253</v>
      </c>
      <c r="H48" s="413">
        <f>H43+H46+H42+H44+H47+H45</f>
        <v>1007.63</v>
      </c>
      <c r="I48" s="414"/>
      <c r="J48" s="60"/>
      <c r="K48" s="60"/>
      <c r="L48" s="60"/>
      <c r="N48" s="346">
        <f t="shared" si="0"/>
        <v>0</v>
      </c>
      <c r="O48" s="346">
        <f t="shared" si="1"/>
        <v>0</v>
      </c>
      <c r="P48" s="346">
        <f t="shared" si="2"/>
        <v>0</v>
      </c>
      <c r="Q48" s="346">
        <f t="shared" si="3"/>
        <v>0</v>
      </c>
      <c r="R48" s="347">
        <f t="shared" si="4"/>
        <v>0</v>
      </c>
      <c r="S48" s="347">
        <f t="shared" si="5"/>
        <v>0</v>
      </c>
      <c r="T48" s="347">
        <f t="shared" si="6"/>
        <v>0</v>
      </c>
      <c r="U48" s="60"/>
      <c r="V48" s="60"/>
      <c r="W48" s="60"/>
      <c r="X48" s="60"/>
      <c r="Y48" s="60"/>
      <c r="Z48" s="60"/>
      <c r="AA48" s="60"/>
      <c r="AB48" s="60"/>
      <c r="AC48" s="60"/>
      <c r="AD48" s="60"/>
      <c r="AE48" s="60"/>
      <c r="AF48" s="60"/>
      <c r="AG48" s="60"/>
      <c r="AH48" s="60"/>
      <c r="AI48" s="60"/>
      <c r="AJ48" s="60"/>
      <c r="AK48" s="60"/>
      <c r="AL48" s="60"/>
      <c r="AM48" s="60"/>
      <c r="AN48" s="60"/>
      <c r="AO48" s="60"/>
      <c r="AP48" s="60"/>
    </row>
    <row r="49" spans="1:42" ht="18" customHeight="1">
      <c r="A49" s="60" t="s">
        <v>108</v>
      </c>
      <c r="B49" s="577"/>
      <c r="C49" s="579"/>
      <c r="D49" s="579"/>
      <c r="E49" s="579"/>
      <c r="F49" s="579"/>
      <c r="G49" s="579" t="s">
        <v>497</v>
      </c>
      <c r="H49" s="578">
        <f>H41-(H43+H46)-H42-H44-H47-H45</f>
        <v>71.12</v>
      </c>
      <c r="I49" s="414"/>
      <c r="J49" s="60"/>
      <c r="K49" s="60"/>
      <c r="L49" s="60"/>
      <c r="N49" s="346">
        <f t="shared" si="0"/>
        <v>0</v>
      </c>
      <c r="O49" s="346">
        <f t="shared" si="1"/>
        <v>0</v>
      </c>
      <c r="P49" s="346">
        <f t="shared" si="2"/>
        <v>0</v>
      </c>
      <c r="Q49" s="346">
        <f t="shared" si="3"/>
        <v>0</v>
      </c>
      <c r="R49" s="347">
        <f t="shared" si="4"/>
        <v>0</v>
      </c>
      <c r="S49" s="347">
        <f t="shared" si="5"/>
        <v>0</v>
      </c>
      <c r="T49" s="347">
        <f t="shared" si="6"/>
        <v>0</v>
      </c>
      <c r="U49" s="60"/>
      <c r="V49" s="60"/>
      <c r="W49" s="60"/>
      <c r="X49" s="60"/>
      <c r="Y49" s="60"/>
      <c r="Z49" s="60"/>
      <c r="AA49" s="60"/>
      <c r="AB49" s="60"/>
      <c r="AC49" s="60"/>
      <c r="AD49" s="60"/>
      <c r="AE49" s="60"/>
      <c r="AF49" s="60"/>
      <c r="AG49" s="60"/>
      <c r="AH49" s="60"/>
      <c r="AI49" s="60"/>
      <c r="AJ49" s="60"/>
      <c r="AK49" s="60"/>
      <c r="AL49" s="60"/>
      <c r="AM49" s="60"/>
      <c r="AN49" s="60"/>
      <c r="AO49" s="60"/>
      <c r="AP49" s="60"/>
    </row>
    <row r="50" spans="1:42" ht="18" customHeight="1">
      <c r="A50" s="60"/>
      <c r="B50" s="415"/>
      <c r="C50" s="416"/>
      <c r="D50" s="416"/>
      <c r="E50" s="416"/>
      <c r="F50" s="416"/>
      <c r="G50" s="416" t="s">
        <v>554</v>
      </c>
      <c r="H50" s="424">
        <f>H49+SUMIFS($H:$H,$A:$A,A49,$E:$E,"Saving Allocation")</f>
        <v>201.12</v>
      </c>
      <c r="I50" s="418"/>
      <c r="J50" s="60"/>
      <c r="K50" s="60"/>
      <c r="L50" s="60"/>
      <c r="N50" s="346"/>
      <c r="O50" s="346"/>
      <c r="P50" s="346"/>
      <c r="Q50" s="346"/>
      <c r="R50" s="347"/>
      <c r="S50" s="347"/>
      <c r="T50" s="347"/>
      <c r="U50" s="60"/>
      <c r="V50" s="60"/>
      <c r="W50" s="60"/>
      <c r="X50" s="60"/>
      <c r="Y50" s="60"/>
      <c r="Z50" s="60"/>
      <c r="AA50" s="60"/>
      <c r="AB50" s="60"/>
      <c r="AC50" s="60"/>
      <c r="AD50" s="60"/>
      <c r="AE50" s="60"/>
      <c r="AF50" s="60"/>
      <c r="AG50" s="60"/>
      <c r="AH50" s="60"/>
      <c r="AI50" s="60"/>
      <c r="AJ50" s="60"/>
      <c r="AK50" s="60"/>
      <c r="AL50" s="60"/>
      <c r="AM50" s="60"/>
      <c r="AN50" s="60"/>
      <c r="AO50" s="60"/>
      <c r="AP50" s="60"/>
    </row>
    <row r="51" spans="1:42" ht="18" customHeight="1">
      <c r="A51" s="60" t="s">
        <v>108</v>
      </c>
      <c r="B51" s="498"/>
      <c r="C51" s="425"/>
      <c r="D51" s="425"/>
      <c r="E51" s="425"/>
      <c r="F51" s="425"/>
      <c r="G51" s="425"/>
      <c r="H51" s="419"/>
      <c r="I51" s="420"/>
      <c r="J51" s="60"/>
      <c r="K51" s="60"/>
      <c r="L51" s="60"/>
      <c r="N51" s="346">
        <f t="shared" si="0"/>
        <v>0</v>
      </c>
      <c r="O51" s="346">
        <f t="shared" si="1"/>
        <v>0</v>
      </c>
      <c r="P51" s="346">
        <f t="shared" si="2"/>
        <v>0</v>
      </c>
      <c r="Q51" s="346">
        <f t="shared" si="3"/>
        <v>0</v>
      </c>
      <c r="R51" s="347">
        <f t="shared" si="4"/>
        <v>0</v>
      </c>
      <c r="S51" s="347">
        <f t="shared" si="5"/>
        <v>0</v>
      </c>
      <c r="T51" s="347">
        <f t="shared" si="6"/>
        <v>0</v>
      </c>
      <c r="U51" s="60"/>
      <c r="V51" s="60"/>
      <c r="W51" s="60"/>
      <c r="X51" s="60"/>
      <c r="Y51" s="60"/>
      <c r="Z51" s="60"/>
      <c r="AA51" s="60"/>
      <c r="AB51" s="60"/>
      <c r="AC51" s="60"/>
      <c r="AD51" s="60"/>
      <c r="AE51" s="60"/>
      <c r="AF51" s="60"/>
      <c r="AG51" s="60"/>
      <c r="AH51" s="60"/>
      <c r="AI51" s="60"/>
      <c r="AJ51" s="60"/>
      <c r="AK51" s="60"/>
      <c r="AL51" s="60"/>
      <c r="AM51" s="60"/>
      <c r="AN51" s="60"/>
      <c r="AO51" s="60"/>
      <c r="AP51" s="60"/>
    </row>
    <row r="52" spans="1:42" ht="18" customHeight="1" outlineLevel="1">
      <c r="A52" s="60" t="s">
        <v>112</v>
      </c>
      <c r="B52" s="623" t="s">
        <v>112</v>
      </c>
      <c r="C52" s="421">
        <v>46063</v>
      </c>
      <c r="D52" s="422" t="s">
        <v>204</v>
      </c>
      <c r="E52" s="422" t="s">
        <v>207</v>
      </c>
      <c r="F52" s="422" t="s">
        <v>208</v>
      </c>
      <c r="G52" s="422" t="s">
        <v>209</v>
      </c>
      <c r="H52" s="423">
        <v>1345.75</v>
      </c>
      <c r="I52" s="422" t="s">
        <v>215</v>
      </c>
      <c r="J52" s="355"/>
      <c r="K52" s="355"/>
      <c r="L52" s="355"/>
      <c r="N52" s="346">
        <f t="shared" si="0"/>
        <v>0</v>
      </c>
      <c r="O52" s="346">
        <f t="shared" si="1"/>
        <v>0</v>
      </c>
      <c r="P52" s="346">
        <f t="shared" si="2"/>
        <v>0</v>
      </c>
      <c r="Q52" s="346">
        <f t="shared" si="3"/>
        <v>0</v>
      </c>
      <c r="R52" s="347">
        <f t="shared" si="4"/>
        <v>0</v>
      </c>
      <c r="S52" s="347">
        <f t="shared" si="5"/>
        <v>0</v>
      </c>
      <c r="T52" s="347">
        <f t="shared" si="6"/>
        <v>1345.75</v>
      </c>
      <c r="U52" s="60"/>
      <c r="V52" s="60"/>
      <c r="W52" s="60"/>
      <c r="X52" s="60"/>
      <c r="Y52" s="60"/>
      <c r="Z52" s="60"/>
      <c r="AA52" s="60"/>
      <c r="AB52" s="60"/>
      <c r="AC52" s="60"/>
      <c r="AD52" s="60"/>
      <c r="AE52" s="60"/>
      <c r="AF52" s="60"/>
      <c r="AG52" s="60"/>
      <c r="AH52" s="60"/>
      <c r="AI52" s="60"/>
      <c r="AJ52" s="60"/>
      <c r="AK52" s="60"/>
      <c r="AL52" s="60"/>
      <c r="AM52" s="60"/>
      <c r="AN52" s="60"/>
      <c r="AO52" s="60"/>
      <c r="AP52" s="60"/>
    </row>
    <row r="53" spans="1:42" ht="18" customHeight="1" outlineLevel="1">
      <c r="A53" s="60" t="s">
        <v>112</v>
      </c>
      <c r="B53" s="627"/>
      <c r="C53" s="379">
        <v>46063</v>
      </c>
      <c r="D53" s="379" t="s">
        <v>100</v>
      </c>
      <c r="E53" s="380" t="s">
        <v>503</v>
      </c>
      <c r="F53" s="380" t="s">
        <v>209</v>
      </c>
      <c r="G53" s="380" t="s">
        <v>210</v>
      </c>
      <c r="H53" s="381">
        <v>150</v>
      </c>
      <c r="I53" s="380" t="s">
        <v>34</v>
      </c>
      <c r="J53" s="355"/>
      <c r="K53" s="355"/>
      <c r="L53" s="355"/>
      <c r="N53" s="346">
        <f t="shared" si="0"/>
        <v>150</v>
      </c>
      <c r="O53" s="346">
        <f t="shared" si="1"/>
        <v>0</v>
      </c>
      <c r="P53" s="346">
        <f t="shared" si="2"/>
        <v>0</v>
      </c>
      <c r="Q53" s="346">
        <f t="shared" si="3"/>
        <v>0</v>
      </c>
      <c r="R53" s="347">
        <f t="shared" si="4"/>
        <v>0</v>
      </c>
      <c r="S53" s="347">
        <f t="shared" si="5"/>
        <v>0</v>
      </c>
      <c r="T53" s="347">
        <f t="shared" si="6"/>
        <v>0</v>
      </c>
      <c r="U53" s="60"/>
      <c r="V53" s="60"/>
      <c r="W53" s="60"/>
      <c r="X53" s="60"/>
      <c r="Y53" s="60"/>
      <c r="Z53" s="60"/>
      <c r="AA53" s="60"/>
      <c r="AB53" s="60"/>
      <c r="AC53" s="60"/>
      <c r="AD53" s="60"/>
      <c r="AE53" s="60"/>
      <c r="AF53" s="60"/>
      <c r="AG53" s="60"/>
      <c r="AH53" s="60"/>
      <c r="AI53" s="60"/>
      <c r="AJ53" s="60"/>
      <c r="AK53" s="60"/>
      <c r="AL53" s="60"/>
      <c r="AM53" s="60"/>
      <c r="AN53" s="60"/>
      <c r="AO53" s="60"/>
      <c r="AP53" s="60"/>
    </row>
    <row r="54" spans="1:42" ht="18" customHeight="1" outlineLevel="1">
      <c r="A54" s="60" t="s">
        <v>112</v>
      </c>
      <c r="B54" s="627"/>
      <c r="C54" s="379">
        <v>46063</v>
      </c>
      <c r="D54" s="379" t="s">
        <v>201</v>
      </c>
      <c r="E54" s="380" t="s">
        <v>205</v>
      </c>
      <c r="F54" s="380" t="s">
        <v>209</v>
      </c>
      <c r="G54" s="380" t="s">
        <v>210</v>
      </c>
      <c r="H54" s="381">
        <v>375</v>
      </c>
      <c r="I54" s="380" t="s">
        <v>217</v>
      </c>
      <c r="J54" s="355"/>
      <c r="K54" s="355"/>
      <c r="L54" s="355"/>
      <c r="N54" s="346">
        <f t="shared" si="0"/>
        <v>0</v>
      </c>
      <c r="O54" s="346">
        <f t="shared" si="1"/>
        <v>0</v>
      </c>
      <c r="P54" s="346">
        <f t="shared" si="2"/>
        <v>0</v>
      </c>
      <c r="Q54" s="346">
        <f t="shared" si="3"/>
        <v>0</v>
      </c>
      <c r="R54" s="347">
        <f t="shared" si="4"/>
        <v>375</v>
      </c>
      <c r="S54" s="347">
        <f t="shared" si="5"/>
        <v>0</v>
      </c>
      <c r="T54" s="347">
        <f t="shared" si="6"/>
        <v>0</v>
      </c>
      <c r="U54" s="60"/>
      <c r="V54" s="60"/>
      <c r="W54" s="60"/>
      <c r="X54" s="60"/>
      <c r="Y54" s="60"/>
      <c r="Z54" s="60"/>
      <c r="AA54" s="60"/>
      <c r="AB54" s="60"/>
      <c r="AC54" s="60"/>
      <c r="AD54" s="60"/>
      <c r="AE54" s="60"/>
      <c r="AF54" s="60"/>
      <c r="AG54" s="60"/>
      <c r="AH54" s="60"/>
      <c r="AI54" s="60"/>
      <c r="AJ54" s="60"/>
      <c r="AK54" s="60"/>
      <c r="AL54" s="60"/>
      <c r="AM54" s="60"/>
      <c r="AN54" s="60"/>
      <c r="AO54" s="60"/>
      <c r="AP54" s="60"/>
    </row>
    <row r="55" spans="1:42" ht="18" customHeight="1" outlineLevel="1">
      <c r="A55" s="60" t="s">
        <v>112</v>
      </c>
      <c r="B55" s="627"/>
      <c r="C55" s="379">
        <v>46063</v>
      </c>
      <c r="D55" s="379" t="s">
        <v>202</v>
      </c>
      <c r="E55" s="380" t="s">
        <v>211</v>
      </c>
      <c r="F55" s="380" t="s">
        <v>209</v>
      </c>
      <c r="G55" s="380" t="s">
        <v>211</v>
      </c>
      <c r="H55" s="381">
        <v>200</v>
      </c>
      <c r="I55" s="380" t="s">
        <v>216</v>
      </c>
      <c r="J55" s="355"/>
      <c r="K55" s="355"/>
      <c r="L55" s="355"/>
      <c r="N55" s="346">
        <f t="shared" si="0"/>
        <v>0</v>
      </c>
      <c r="O55" s="346">
        <f t="shared" si="1"/>
        <v>0</v>
      </c>
      <c r="P55" s="346">
        <f t="shared" si="2"/>
        <v>0</v>
      </c>
      <c r="Q55" s="346">
        <f t="shared" si="3"/>
        <v>0</v>
      </c>
      <c r="R55" s="347">
        <f t="shared" si="4"/>
        <v>0</v>
      </c>
      <c r="S55" s="347">
        <f t="shared" si="5"/>
        <v>200</v>
      </c>
      <c r="T55" s="347">
        <f t="shared" si="6"/>
        <v>0</v>
      </c>
      <c r="U55" s="60"/>
      <c r="V55" s="60"/>
      <c r="W55" s="60"/>
      <c r="X55" s="60"/>
      <c r="Y55" s="60"/>
      <c r="Z55" s="60"/>
      <c r="AA55" s="60"/>
      <c r="AB55" s="60"/>
      <c r="AC55" s="60"/>
      <c r="AD55" s="60"/>
      <c r="AE55" s="60"/>
      <c r="AF55" s="60"/>
      <c r="AG55" s="60"/>
      <c r="AH55" s="60"/>
      <c r="AI55" s="60"/>
      <c r="AJ55" s="60"/>
      <c r="AK55" s="60"/>
      <c r="AL55" s="60"/>
      <c r="AM55" s="60"/>
      <c r="AN55" s="60"/>
      <c r="AO55" s="60"/>
      <c r="AP55" s="60"/>
    </row>
    <row r="56" spans="1:42" ht="18" customHeight="1" outlineLevel="1">
      <c r="A56" s="60" t="s">
        <v>112</v>
      </c>
      <c r="B56" s="627"/>
      <c r="C56" s="379">
        <v>46063</v>
      </c>
      <c r="D56" s="379" t="s">
        <v>203</v>
      </c>
      <c r="E56" s="380" t="s">
        <v>218</v>
      </c>
      <c r="F56" s="380" t="s">
        <v>209</v>
      </c>
      <c r="G56" s="380" t="s">
        <v>212</v>
      </c>
      <c r="H56" s="381">
        <v>15</v>
      </c>
      <c r="I56" s="380" t="s">
        <v>218</v>
      </c>
      <c r="J56" s="355"/>
      <c r="K56" s="355"/>
      <c r="L56" s="355"/>
      <c r="N56" s="346">
        <f t="shared" si="0"/>
        <v>0</v>
      </c>
      <c r="O56" s="346">
        <f t="shared" si="1"/>
        <v>0</v>
      </c>
      <c r="P56" s="346">
        <f t="shared" si="2"/>
        <v>0</v>
      </c>
      <c r="Q56" s="346">
        <f t="shared" si="3"/>
        <v>15</v>
      </c>
      <c r="R56" s="347">
        <f t="shared" si="4"/>
        <v>0</v>
      </c>
      <c r="S56" s="347">
        <f t="shared" si="5"/>
        <v>0</v>
      </c>
      <c r="T56" s="347">
        <f t="shared" si="6"/>
        <v>0</v>
      </c>
      <c r="U56" s="60"/>
      <c r="V56" s="60"/>
      <c r="W56" s="60"/>
      <c r="X56" s="60"/>
      <c r="Y56" s="60"/>
      <c r="Z56" s="60"/>
      <c r="AA56" s="60"/>
      <c r="AB56" s="60"/>
      <c r="AC56" s="60"/>
      <c r="AD56" s="60"/>
      <c r="AE56" s="60"/>
      <c r="AF56" s="60"/>
      <c r="AG56" s="60"/>
      <c r="AH56" s="60"/>
      <c r="AI56" s="60"/>
      <c r="AJ56" s="60"/>
      <c r="AK56" s="60"/>
      <c r="AL56" s="60"/>
      <c r="AM56" s="60"/>
      <c r="AN56" s="60"/>
      <c r="AO56" s="60"/>
      <c r="AP56" s="60"/>
    </row>
    <row r="57" spans="1:42" ht="18" customHeight="1" outlineLevel="1">
      <c r="A57" s="60" t="s">
        <v>112</v>
      </c>
      <c r="B57" s="627"/>
      <c r="C57" s="379">
        <v>46063</v>
      </c>
      <c r="D57" s="379" t="s">
        <v>113</v>
      </c>
      <c r="E57" s="380" t="s">
        <v>205</v>
      </c>
      <c r="F57" s="380" t="s">
        <v>209</v>
      </c>
      <c r="G57" s="380" t="s">
        <v>214</v>
      </c>
      <c r="H57" s="381">
        <v>135</v>
      </c>
      <c r="I57" s="380" t="s">
        <v>217</v>
      </c>
      <c r="J57" s="355"/>
      <c r="K57" s="355"/>
      <c r="L57" s="355"/>
      <c r="N57" s="346">
        <f t="shared" si="0"/>
        <v>0</v>
      </c>
      <c r="O57" s="346">
        <f t="shared" si="1"/>
        <v>0</v>
      </c>
      <c r="P57" s="346">
        <f t="shared" si="2"/>
        <v>0</v>
      </c>
      <c r="Q57" s="346">
        <f t="shared" si="3"/>
        <v>0</v>
      </c>
      <c r="R57" s="347">
        <f t="shared" si="4"/>
        <v>135</v>
      </c>
      <c r="S57" s="347">
        <f t="shared" si="5"/>
        <v>0</v>
      </c>
      <c r="T57" s="347">
        <f t="shared" si="6"/>
        <v>0</v>
      </c>
      <c r="U57" s="60"/>
      <c r="V57" s="60"/>
      <c r="W57" s="60"/>
      <c r="X57" s="60"/>
      <c r="Y57" s="60"/>
      <c r="Z57" s="60"/>
      <c r="AA57" s="60"/>
      <c r="AB57" s="60"/>
      <c r="AC57" s="60"/>
      <c r="AD57" s="60"/>
      <c r="AE57" s="60"/>
      <c r="AF57" s="60"/>
      <c r="AG57" s="60"/>
      <c r="AH57" s="60"/>
      <c r="AI57" s="60"/>
      <c r="AJ57" s="60"/>
      <c r="AK57" s="60"/>
      <c r="AL57" s="60"/>
      <c r="AM57" s="60"/>
      <c r="AN57" s="60"/>
      <c r="AO57" s="60"/>
      <c r="AP57" s="60"/>
    </row>
    <row r="58" spans="1:42" ht="18" customHeight="1" outlineLevel="1">
      <c r="A58" s="60" t="s">
        <v>112</v>
      </c>
      <c r="B58" s="627"/>
      <c r="C58" s="379">
        <v>46064</v>
      </c>
      <c r="D58" s="379" t="s">
        <v>230</v>
      </c>
      <c r="E58" s="380" t="s">
        <v>504</v>
      </c>
      <c r="F58" s="380" t="s">
        <v>209</v>
      </c>
      <c r="G58" s="380" t="s">
        <v>222</v>
      </c>
      <c r="H58" s="381">
        <v>27.94</v>
      </c>
      <c r="I58" s="380" t="s">
        <v>517</v>
      </c>
      <c r="J58" s="355"/>
      <c r="K58" s="355"/>
      <c r="L58" s="355"/>
      <c r="N58" s="346">
        <f t="shared" si="0"/>
        <v>27.94</v>
      </c>
      <c r="O58" s="346">
        <f t="shared" si="1"/>
        <v>0</v>
      </c>
      <c r="P58" s="346">
        <f t="shared" si="2"/>
        <v>0</v>
      </c>
      <c r="Q58" s="346">
        <f t="shared" si="3"/>
        <v>0</v>
      </c>
      <c r="R58" s="347">
        <f t="shared" si="4"/>
        <v>0</v>
      </c>
      <c r="S58" s="347">
        <f t="shared" si="5"/>
        <v>0</v>
      </c>
      <c r="T58" s="347">
        <f t="shared" si="6"/>
        <v>0</v>
      </c>
      <c r="U58" s="60"/>
      <c r="V58" s="60"/>
      <c r="W58" s="60"/>
      <c r="X58" s="60"/>
      <c r="Y58" s="60"/>
      <c r="Z58" s="60"/>
      <c r="AA58" s="60"/>
      <c r="AB58" s="60"/>
      <c r="AC58" s="60"/>
      <c r="AD58" s="60"/>
      <c r="AE58" s="60"/>
      <c r="AF58" s="60"/>
      <c r="AG58" s="60"/>
      <c r="AH58" s="60"/>
      <c r="AI58" s="60"/>
      <c r="AJ58" s="60"/>
      <c r="AK58" s="60"/>
      <c r="AL58" s="60"/>
      <c r="AM58" s="60"/>
      <c r="AN58" s="60"/>
      <c r="AO58" s="60"/>
      <c r="AP58" s="60"/>
    </row>
    <row r="59" spans="1:42" ht="18" customHeight="1" outlineLevel="1">
      <c r="A59" s="60" t="s">
        <v>112</v>
      </c>
      <c r="B59" s="627"/>
      <c r="C59" s="379">
        <v>46065</v>
      </c>
      <c r="D59" s="380" t="s">
        <v>231</v>
      </c>
      <c r="E59" s="380" t="s">
        <v>504</v>
      </c>
      <c r="F59" s="380" t="s">
        <v>209</v>
      </c>
      <c r="G59" s="380" t="s">
        <v>222</v>
      </c>
      <c r="H59" s="381">
        <v>10.5</v>
      </c>
      <c r="I59" s="380" t="s">
        <v>517</v>
      </c>
      <c r="J59" s="355"/>
      <c r="K59" s="355"/>
      <c r="L59" s="355"/>
      <c r="N59" s="346">
        <f t="shared" si="0"/>
        <v>10.5</v>
      </c>
      <c r="O59" s="346">
        <f t="shared" si="1"/>
        <v>0</v>
      </c>
      <c r="P59" s="346">
        <f t="shared" si="2"/>
        <v>0</v>
      </c>
      <c r="Q59" s="346">
        <f t="shared" si="3"/>
        <v>0</v>
      </c>
      <c r="R59" s="347">
        <f t="shared" si="4"/>
        <v>0</v>
      </c>
      <c r="S59" s="347">
        <f t="shared" si="5"/>
        <v>0</v>
      </c>
      <c r="T59" s="347">
        <f t="shared" si="6"/>
        <v>0</v>
      </c>
      <c r="U59" s="60"/>
      <c r="V59" s="60"/>
      <c r="W59" s="60"/>
      <c r="X59" s="60"/>
      <c r="Y59" s="60"/>
      <c r="Z59" s="60"/>
      <c r="AA59" s="60"/>
      <c r="AB59" s="60"/>
      <c r="AC59" s="60"/>
      <c r="AD59" s="60"/>
      <c r="AE59" s="60"/>
      <c r="AF59" s="60"/>
      <c r="AG59" s="60"/>
      <c r="AH59" s="60"/>
      <c r="AI59" s="60"/>
      <c r="AJ59" s="60"/>
      <c r="AK59" s="60"/>
      <c r="AL59" s="60"/>
      <c r="AM59" s="60"/>
      <c r="AN59" s="60"/>
      <c r="AO59" s="60"/>
      <c r="AP59" s="60"/>
    </row>
    <row r="60" spans="1:42" ht="18" customHeight="1" outlineLevel="1">
      <c r="A60" s="60" t="s">
        <v>112</v>
      </c>
      <c r="B60" s="627"/>
      <c r="C60" s="426">
        <v>46066</v>
      </c>
      <c r="D60" s="380" t="s">
        <v>151</v>
      </c>
      <c r="E60" s="380" t="s">
        <v>504</v>
      </c>
      <c r="F60" s="380" t="s">
        <v>209</v>
      </c>
      <c r="G60" s="380" t="s">
        <v>222</v>
      </c>
      <c r="H60" s="381">
        <v>10</v>
      </c>
      <c r="I60" s="380" t="s">
        <v>219</v>
      </c>
      <c r="J60" s="355"/>
      <c r="K60" s="355"/>
      <c r="L60" s="355"/>
      <c r="N60" s="346">
        <f t="shared" si="0"/>
        <v>10</v>
      </c>
      <c r="O60" s="346">
        <f t="shared" si="1"/>
        <v>0</v>
      </c>
      <c r="P60" s="346">
        <f t="shared" si="2"/>
        <v>0</v>
      </c>
      <c r="Q60" s="346">
        <f t="shared" si="3"/>
        <v>0</v>
      </c>
      <c r="R60" s="347">
        <f t="shared" si="4"/>
        <v>0</v>
      </c>
      <c r="S60" s="347">
        <f t="shared" si="5"/>
        <v>0</v>
      </c>
      <c r="T60" s="347">
        <f t="shared" si="6"/>
        <v>0</v>
      </c>
      <c r="U60" s="60"/>
      <c r="V60" s="60"/>
      <c r="W60" s="60"/>
      <c r="X60" s="60"/>
      <c r="Y60" s="60"/>
      <c r="Z60" s="60"/>
      <c r="AA60" s="60"/>
      <c r="AB60" s="60"/>
      <c r="AC60" s="60"/>
      <c r="AD60" s="60"/>
      <c r="AE60" s="60"/>
      <c r="AF60" s="60"/>
      <c r="AG60" s="60"/>
      <c r="AH60" s="60"/>
      <c r="AI60" s="60"/>
      <c r="AJ60" s="60"/>
      <c r="AK60" s="60"/>
      <c r="AL60" s="60"/>
      <c r="AM60" s="60"/>
      <c r="AN60" s="60"/>
      <c r="AO60" s="60"/>
      <c r="AP60" s="60"/>
    </row>
    <row r="61" spans="1:42" ht="18" customHeight="1" outlineLevel="1">
      <c r="A61" s="60" t="s">
        <v>112</v>
      </c>
      <c r="B61" s="627"/>
      <c r="C61" s="379">
        <v>46068</v>
      </c>
      <c r="D61" s="380" t="s">
        <v>152</v>
      </c>
      <c r="E61" s="380" t="s">
        <v>504</v>
      </c>
      <c r="F61" s="380" t="s">
        <v>209</v>
      </c>
      <c r="G61" s="380" t="s">
        <v>222</v>
      </c>
      <c r="H61" s="381">
        <v>50</v>
      </c>
      <c r="I61" s="380" t="s">
        <v>220</v>
      </c>
      <c r="J61" s="355"/>
      <c r="K61" s="355"/>
      <c r="L61" s="355"/>
      <c r="N61" s="346">
        <f t="shared" si="0"/>
        <v>50</v>
      </c>
      <c r="O61" s="346">
        <f t="shared" si="1"/>
        <v>0</v>
      </c>
      <c r="P61" s="346">
        <f t="shared" si="2"/>
        <v>0</v>
      </c>
      <c r="Q61" s="346">
        <f t="shared" si="3"/>
        <v>0</v>
      </c>
      <c r="R61" s="347">
        <f t="shared" si="4"/>
        <v>0</v>
      </c>
      <c r="S61" s="347">
        <f t="shared" si="5"/>
        <v>0</v>
      </c>
      <c r="T61" s="347">
        <f t="shared" si="6"/>
        <v>0</v>
      </c>
      <c r="U61" s="60"/>
      <c r="V61" s="60"/>
      <c r="W61" s="60"/>
      <c r="X61" s="60"/>
      <c r="Y61" s="60"/>
      <c r="Z61" s="60"/>
      <c r="AA61" s="60"/>
      <c r="AB61" s="60"/>
      <c r="AC61" s="60"/>
      <c r="AD61" s="60"/>
      <c r="AE61" s="60"/>
      <c r="AF61" s="60"/>
      <c r="AG61" s="60"/>
      <c r="AH61" s="60"/>
      <c r="AI61" s="60"/>
      <c r="AJ61" s="60"/>
      <c r="AK61" s="60"/>
      <c r="AL61" s="60"/>
      <c r="AM61" s="60"/>
      <c r="AN61" s="60"/>
      <c r="AO61" s="60"/>
      <c r="AP61" s="60"/>
    </row>
    <row r="62" spans="1:42" ht="18" customHeight="1" outlineLevel="1">
      <c r="A62" s="60" t="s">
        <v>112</v>
      </c>
      <c r="B62" s="627"/>
      <c r="C62" s="379">
        <v>46068</v>
      </c>
      <c r="D62" s="380" t="s">
        <v>101</v>
      </c>
      <c r="E62" s="380" t="s">
        <v>211</v>
      </c>
      <c r="F62" s="380" t="s">
        <v>209</v>
      </c>
      <c r="G62" s="380" t="s">
        <v>211</v>
      </c>
      <c r="H62" s="381">
        <v>100</v>
      </c>
      <c r="I62" s="380" t="s">
        <v>216</v>
      </c>
      <c r="J62" s="355"/>
      <c r="K62" s="355"/>
      <c r="L62" s="355"/>
      <c r="N62" s="346">
        <f t="shared" si="0"/>
        <v>0</v>
      </c>
      <c r="O62" s="346">
        <f t="shared" si="1"/>
        <v>0</v>
      </c>
      <c r="P62" s="346">
        <f t="shared" si="2"/>
        <v>0</v>
      </c>
      <c r="Q62" s="346">
        <f t="shared" si="3"/>
        <v>0</v>
      </c>
      <c r="R62" s="347">
        <f t="shared" si="4"/>
        <v>0</v>
      </c>
      <c r="S62" s="347">
        <f t="shared" si="5"/>
        <v>100</v>
      </c>
      <c r="T62" s="347">
        <f t="shared" si="6"/>
        <v>0</v>
      </c>
      <c r="U62" s="60"/>
      <c r="V62" s="60"/>
      <c r="W62" s="60"/>
      <c r="X62" s="60"/>
      <c r="Y62" s="60"/>
      <c r="Z62" s="60"/>
      <c r="AA62" s="60"/>
      <c r="AB62" s="60"/>
      <c r="AC62" s="60"/>
      <c r="AD62" s="60"/>
      <c r="AE62" s="60"/>
      <c r="AF62" s="60"/>
      <c r="AG62" s="60"/>
      <c r="AH62" s="60"/>
      <c r="AI62" s="60"/>
      <c r="AJ62" s="60"/>
      <c r="AK62" s="60"/>
      <c r="AL62" s="60"/>
      <c r="AM62" s="60"/>
      <c r="AN62" s="60"/>
      <c r="AO62" s="60"/>
      <c r="AP62" s="60"/>
    </row>
    <row r="63" spans="1:42" ht="18" customHeight="1" outlineLevel="1">
      <c r="A63" s="60" t="s">
        <v>112</v>
      </c>
      <c r="B63" s="627"/>
      <c r="C63" s="382">
        <v>46069</v>
      </c>
      <c r="D63" s="383" t="s">
        <v>153</v>
      </c>
      <c r="E63" s="383" t="s">
        <v>504</v>
      </c>
      <c r="F63" s="383" t="s">
        <v>209</v>
      </c>
      <c r="G63" s="383" t="s">
        <v>222</v>
      </c>
      <c r="H63" s="384">
        <v>27.48</v>
      </c>
      <c r="I63" s="383" t="s">
        <v>517</v>
      </c>
      <c r="J63" s="355"/>
      <c r="K63" s="355"/>
      <c r="L63" s="355"/>
      <c r="N63" s="346">
        <f t="shared" si="0"/>
        <v>27.48</v>
      </c>
      <c r="O63" s="346">
        <f t="shared" si="1"/>
        <v>0</v>
      </c>
      <c r="P63" s="346">
        <f t="shared" si="2"/>
        <v>0</v>
      </c>
      <c r="Q63" s="346">
        <f t="shared" si="3"/>
        <v>0</v>
      </c>
      <c r="R63" s="347">
        <f t="shared" si="4"/>
        <v>0</v>
      </c>
      <c r="S63" s="347">
        <f t="shared" si="5"/>
        <v>0</v>
      </c>
      <c r="T63" s="347">
        <f t="shared" si="6"/>
        <v>0</v>
      </c>
      <c r="U63" s="60"/>
      <c r="V63" s="60"/>
      <c r="W63" s="60"/>
      <c r="X63" s="60"/>
      <c r="Y63" s="60"/>
      <c r="Z63" s="60"/>
      <c r="AA63" s="60"/>
      <c r="AB63" s="60"/>
      <c r="AC63" s="60"/>
      <c r="AD63" s="60"/>
      <c r="AE63" s="60"/>
      <c r="AF63" s="60"/>
      <c r="AG63" s="60"/>
      <c r="AH63" s="60"/>
      <c r="AI63" s="60"/>
      <c r="AJ63" s="60"/>
      <c r="AK63" s="60"/>
      <c r="AL63" s="60"/>
      <c r="AM63" s="60"/>
      <c r="AN63" s="60"/>
      <c r="AO63" s="60"/>
      <c r="AP63" s="60"/>
    </row>
    <row r="64" spans="1:42" ht="18" customHeight="1">
      <c r="A64" s="60" t="s">
        <v>112</v>
      </c>
      <c r="B64" s="427"/>
      <c r="C64" s="386"/>
      <c r="D64" s="387"/>
      <c r="E64" s="387"/>
      <c r="F64" s="387"/>
      <c r="G64" s="387"/>
      <c r="H64" s="388"/>
      <c r="I64" s="389"/>
      <c r="J64" s="355"/>
      <c r="K64" s="355"/>
      <c r="L64" s="355"/>
      <c r="N64" s="346">
        <f t="shared" si="0"/>
        <v>0</v>
      </c>
      <c r="O64" s="346">
        <f t="shared" si="1"/>
        <v>0</v>
      </c>
      <c r="P64" s="346">
        <f t="shared" si="2"/>
        <v>0</v>
      </c>
      <c r="Q64" s="346">
        <f t="shared" si="3"/>
        <v>0</v>
      </c>
      <c r="R64" s="347">
        <f t="shared" si="4"/>
        <v>0</v>
      </c>
      <c r="S64" s="347">
        <f t="shared" si="5"/>
        <v>0</v>
      </c>
      <c r="T64" s="347">
        <f t="shared" si="6"/>
        <v>0</v>
      </c>
      <c r="U64" s="60"/>
      <c r="V64" s="60"/>
      <c r="W64" s="60"/>
      <c r="X64" s="60"/>
      <c r="Y64" s="60"/>
      <c r="Z64" s="60"/>
      <c r="AA64" s="60"/>
      <c r="AB64" s="60"/>
      <c r="AC64" s="60"/>
      <c r="AD64" s="60"/>
      <c r="AE64" s="60"/>
      <c r="AF64" s="60"/>
      <c r="AG64" s="60"/>
      <c r="AH64" s="60"/>
      <c r="AI64" s="60"/>
      <c r="AJ64" s="60"/>
      <c r="AK64" s="60"/>
      <c r="AL64" s="60"/>
      <c r="AM64" s="60"/>
      <c r="AN64" s="60"/>
      <c r="AO64" s="60"/>
      <c r="AP64" s="60"/>
    </row>
    <row r="65" spans="1:42" ht="18" customHeight="1">
      <c r="A65" s="60" t="s">
        <v>112</v>
      </c>
      <c r="B65" s="641" t="s">
        <v>254</v>
      </c>
      <c r="C65" s="631"/>
      <c r="D65" s="631"/>
      <c r="E65" s="631"/>
      <c r="F65" s="631"/>
      <c r="G65" s="632"/>
      <c r="H65" s="423">
        <f>SUMIF(E52:E63,"Income",H52:H63)</f>
        <v>1345.75</v>
      </c>
      <c r="I65" s="396"/>
      <c r="J65" s="355"/>
      <c r="K65" s="355"/>
      <c r="L65" s="355"/>
      <c r="N65" s="346">
        <f t="shared" si="0"/>
        <v>0</v>
      </c>
      <c r="O65" s="346">
        <f t="shared" si="1"/>
        <v>0</v>
      </c>
      <c r="P65" s="346">
        <f t="shared" si="2"/>
        <v>0</v>
      </c>
      <c r="Q65" s="346">
        <f t="shared" si="3"/>
        <v>0</v>
      </c>
      <c r="R65" s="347">
        <f t="shared" si="4"/>
        <v>0</v>
      </c>
      <c r="S65" s="347">
        <f t="shared" si="5"/>
        <v>0</v>
      </c>
      <c r="T65" s="347">
        <f t="shared" si="6"/>
        <v>0</v>
      </c>
      <c r="U65" s="60"/>
      <c r="V65" s="60"/>
      <c r="W65" s="60"/>
      <c r="X65" s="60"/>
      <c r="Y65" s="60"/>
      <c r="Z65" s="60"/>
      <c r="AA65" s="60"/>
      <c r="AB65" s="60"/>
      <c r="AC65" s="60"/>
      <c r="AD65" s="60"/>
      <c r="AE65" s="60"/>
      <c r="AF65" s="60"/>
      <c r="AG65" s="60"/>
      <c r="AH65" s="60"/>
      <c r="AI65" s="60"/>
      <c r="AJ65" s="60"/>
      <c r="AK65" s="60"/>
      <c r="AL65" s="60"/>
      <c r="AM65" s="60"/>
      <c r="AN65" s="60"/>
      <c r="AO65" s="60"/>
      <c r="AP65" s="60"/>
    </row>
    <row r="66" spans="1:42" ht="18" customHeight="1">
      <c r="A66" s="60" t="s">
        <v>112</v>
      </c>
      <c r="B66" s="428"/>
      <c r="C66" s="429"/>
      <c r="D66" s="429"/>
      <c r="E66" s="429"/>
      <c r="F66" s="615" t="s">
        <v>354</v>
      </c>
      <c r="G66" s="613"/>
      <c r="H66" s="430">
        <f>SUMIF(E52:E63,"Joint Account",H52:H63)</f>
        <v>300</v>
      </c>
      <c r="I66" s="400"/>
      <c r="J66" s="355"/>
      <c r="K66" s="355"/>
      <c r="L66" s="355"/>
      <c r="N66" s="346">
        <f t="shared" si="0"/>
        <v>0</v>
      </c>
      <c r="O66" s="346">
        <f t="shared" si="1"/>
        <v>0</v>
      </c>
      <c r="P66" s="346">
        <f t="shared" si="2"/>
        <v>0</v>
      </c>
      <c r="Q66" s="346">
        <f t="shared" si="3"/>
        <v>0</v>
      </c>
      <c r="R66" s="347">
        <f t="shared" si="4"/>
        <v>0</v>
      </c>
      <c r="S66" s="347">
        <f t="shared" si="5"/>
        <v>0</v>
      </c>
      <c r="T66" s="347">
        <f t="shared" si="6"/>
        <v>0</v>
      </c>
      <c r="U66" s="60"/>
      <c r="V66" s="60"/>
      <c r="W66" s="60"/>
      <c r="X66" s="60"/>
      <c r="Y66" s="60"/>
      <c r="Z66" s="60"/>
      <c r="AA66" s="60"/>
      <c r="AB66" s="60"/>
      <c r="AC66" s="60"/>
      <c r="AD66" s="60"/>
      <c r="AE66" s="60"/>
      <c r="AF66" s="60"/>
      <c r="AG66" s="60"/>
      <c r="AH66" s="60"/>
      <c r="AI66" s="60"/>
      <c r="AJ66" s="60"/>
      <c r="AK66" s="60"/>
      <c r="AL66" s="60"/>
      <c r="AM66" s="60"/>
      <c r="AN66" s="60"/>
      <c r="AO66" s="60"/>
      <c r="AP66" s="60"/>
    </row>
    <row r="67" spans="1:42" ht="18" customHeight="1">
      <c r="A67" s="60" t="s">
        <v>112</v>
      </c>
      <c r="B67" s="616" t="s">
        <v>226</v>
      </c>
      <c r="C67" s="612"/>
      <c r="D67" s="612"/>
      <c r="E67" s="612"/>
      <c r="F67" s="612"/>
      <c r="G67" s="613"/>
      <c r="H67" s="404">
        <f>SUMIF(E52:E63,"Recurring Expense",H52:H63)</f>
        <v>150</v>
      </c>
      <c r="I67" s="431"/>
      <c r="J67" s="357"/>
      <c r="K67" s="357"/>
      <c r="L67" s="357"/>
      <c r="N67" s="346">
        <f t="shared" si="0"/>
        <v>0</v>
      </c>
      <c r="O67" s="346">
        <f t="shared" si="1"/>
        <v>0</v>
      </c>
      <c r="P67" s="346">
        <f t="shared" si="2"/>
        <v>0</v>
      </c>
      <c r="Q67" s="346">
        <f t="shared" si="3"/>
        <v>0</v>
      </c>
      <c r="R67" s="347">
        <f t="shared" si="4"/>
        <v>0</v>
      </c>
      <c r="S67" s="347">
        <f t="shared" si="5"/>
        <v>0</v>
      </c>
      <c r="T67" s="347">
        <f t="shared" si="6"/>
        <v>0</v>
      </c>
      <c r="U67" s="60"/>
      <c r="V67" s="60"/>
      <c r="W67" s="60"/>
      <c r="X67" s="60"/>
      <c r="Y67" s="60"/>
      <c r="Z67" s="60"/>
      <c r="AA67" s="60"/>
      <c r="AB67" s="60"/>
      <c r="AC67" s="60"/>
      <c r="AD67" s="60"/>
      <c r="AE67" s="60"/>
      <c r="AF67" s="60"/>
      <c r="AG67" s="60"/>
      <c r="AH67" s="60"/>
      <c r="AI67" s="60"/>
      <c r="AJ67" s="60"/>
      <c r="AK67" s="60"/>
      <c r="AL67" s="60"/>
      <c r="AM67" s="60"/>
      <c r="AN67" s="60"/>
      <c r="AO67" s="60"/>
      <c r="AP67" s="60"/>
    </row>
    <row r="68" spans="1:42" ht="18" customHeight="1">
      <c r="A68" s="60" t="s">
        <v>112</v>
      </c>
      <c r="B68" s="616" t="s">
        <v>227</v>
      </c>
      <c r="C68" s="612"/>
      <c r="D68" s="612"/>
      <c r="E68" s="612"/>
      <c r="F68" s="612"/>
      <c r="G68" s="613"/>
      <c r="H68" s="404">
        <f>SUMIF(E52:E63,"Investment",H52:H63)</f>
        <v>15</v>
      </c>
      <c r="I68" s="431"/>
      <c r="J68" s="357"/>
      <c r="K68" s="357"/>
      <c r="L68" s="357"/>
      <c r="N68" s="346">
        <f t="shared" si="0"/>
        <v>0</v>
      </c>
      <c r="O68" s="346">
        <f t="shared" si="1"/>
        <v>0</v>
      </c>
      <c r="P68" s="346">
        <f t="shared" si="2"/>
        <v>0</v>
      </c>
      <c r="Q68" s="346">
        <f t="shared" si="3"/>
        <v>0</v>
      </c>
      <c r="R68" s="347">
        <f t="shared" si="4"/>
        <v>0</v>
      </c>
      <c r="S68" s="347">
        <f t="shared" si="5"/>
        <v>0</v>
      </c>
      <c r="T68" s="347">
        <f t="shared" si="6"/>
        <v>0</v>
      </c>
      <c r="U68" s="60"/>
      <c r="V68" s="60"/>
      <c r="W68" s="60"/>
      <c r="X68" s="60"/>
      <c r="Y68" s="60"/>
      <c r="Z68" s="60"/>
      <c r="AA68" s="60"/>
      <c r="AB68" s="60"/>
      <c r="AC68" s="60"/>
      <c r="AD68" s="60"/>
      <c r="AE68" s="60"/>
      <c r="AF68" s="60"/>
      <c r="AG68" s="60"/>
      <c r="AH68" s="60"/>
      <c r="AI68" s="60"/>
      <c r="AJ68" s="60"/>
      <c r="AK68" s="60"/>
      <c r="AL68" s="60"/>
      <c r="AM68" s="60"/>
      <c r="AN68" s="60"/>
      <c r="AO68" s="60"/>
      <c r="AP68" s="60"/>
    </row>
    <row r="69" spans="1:42" ht="18" customHeight="1">
      <c r="A69" s="60" t="s">
        <v>112</v>
      </c>
      <c r="B69" s="616" t="s">
        <v>250</v>
      </c>
      <c r="C69" s="612"/>
      <c r="D69" s="612"/>
      <c r="E69" s="612"/>
      <c r="F69" s="612"/>
      <c r="G69" s="613"/>
      <c r="H69" s="404">
        <f>SUMIF(E52:E63,"Saving Allocation",H52:H63)</f>
        <v>0</v>
      </c>
      <c r="I69" s="431"/>
      <c r="J69" s="357"/>
      <c r="K69" s="357"/>
      <c r="L69" s="357"/>
      <c r="N69" s="346">
        <f t="shared" si="0"/>
        <v>0</v>
      </c>
      <c r="O69" s="346">
        <f t="shared" si="1"/>
        <v>0</v>
      </c>
      <c r="P69" s="346">
        <f t="shared" si="2"/>
        <v>0</v>
      </c>
      <c r="Q69" s="346">
        <f t="shared" si="3"/>
        <v>0</v>
      </c>
      <c r="R69" s="347">
        <f t="shared" si="4"/>
        <v>0</v>
      </c>
      <c r="S69" s="347">
        <f t="shared" si="5"/>
        <v>0</v>
      </c>
      <c r="T69" s="347">
        <f t="shared" si="6"/>
        <v>0</v>
      </c>
      <c r="U69" s="60"/>
      <c r="V69" s="60"/>
      <c r="W69" s="60"/>
      <c r="X69" s="60"/>
      <c r="Y69" s="60"/>
      <c r="Z69" s="60"/>
      <c r="AA69" s="60"/>
      <c r="AB69" s="60"/>
      <c r="AC69" s="60"/>
      <c r="AD69" s="60"/>
      <c r="AE69" s="60"/>
      <c r="AF69" s="60"/>
      <c r="AG69" s="60"/>
      <c r="AH69" s="60"/>
      <c r="AI69" s="60"/>
      <c r="AJ69" s="60"/>
      <c r="AK69" s="60"/>
      <c r="AL69" s="60"/>
      <c r="AM69" s="60"/>
      <c r="AN69" s="60"/>
      <c r="AO69" s="60"/>
      <c r="AP69" s="60"/>
    </row>
    <row r="70" spans="1:42" ht="18" customHeight="1">
      <c r="A70" s="60" t="s">
        <v>112</v>
      </c>
      <c r="B70" s="616" t="s">
        <v>251</v>
      </c>
      <c r="C70" s="612"/>
      <c r="D70" s="612"/>
      <c r="E70" s="612"/>
      <c r="F70" s="612"/>
      <c r="G70" s="613"/>
      <c r="H70" s="404">
        <f>SUMIF(E52:E63,"Personal Expense",H52:H63)</f>
        <v>125.92</v>
      </c>
      <c r="I70" s="431"/>
      <c r="J70" s="357"/>
      <c r="K70" s="357"/>
      <c r="L70" s="357"/>
      <c r="N70" s="346">
        <f t="shared" ref="N70:N136" si="7">IF(OR(E70="Personal Expense",E70="Recurring Expense"),H70,0)</f>
        <v>0</v>
      </c>
      <c r="O70" s="346">
        <f t="shared" ref="O70:O136" si="8">IF(E70="Internal Transfer",H70,0)</f>
        <v>0</v>
      </c>
      <c r="P70" s="346">
        <f t="shared" ref="P70:P136" si="9">IF(E70="Saving Allocation",H70,0)</f>
        <v>0</v>
      </c>
      <c r="Q70" s="346">
        <f t="shared" ref="Q70:Q136" si="10">IF(E70="Investment",H70,0)</f>
        <v>0</v>
      </c>
      <c r="R70" s="347">
        <f t="shared" ref="R70:R136" si="11">IF(E70="Debt Repayment",H70,0)</f>
        <v>0</v>
      </c>
      <c r="S70" s="347">
        <f t="shared" ref="S70:S136" si="12">IF(E70="Joint Account",H70,0)</f>
        <v>0</v>
      </c>
      <c r="T70" s="347">
        <f t="shared" ref="T70:T136" si="13">IF(E70="Income",H70,0)</f>
        <v>0</v>
      </c>
      <c r="U70" s="60"/>
      <c r="V70" s="60"/>
      <c r="W70" s="60"/>
      <c r="X70" s="60"/>
      <c r="Y70" s="60"/>
      <c r="Z70" s="60"/>
      <c r="AA70" s="60"/>
      <c r="AB70" s="60"/>
      <c r="AC70" s="60"/>
      <c r="AD70" s="60"/>
      <c r="AE70" s="60"/>
      <c r="AF70" s="60"/>
      <c r="AG70" s="60"/>
      <c r="AH70" s="60"/>
      <c r="AI70" s="60"/>
      <c r="AJ70" s="60"/>
      <c r="AK70" s="60"/>
      <c r="AL70" s="60"/>
      <c r="AM70" s="60"/>
      <c r="AN70" s="60"/>
      <c r="AO70" s="60"/>
      <c r="AP70" s="60"/>
    </row>
    <row r="71" spans="1:42" ht="18" customHeight="1">
      <c r="A71" s="60" t="s">
        <v>112</v>
      </c>
      <c r="B71" s="401"/>
      <c r="C71" s="402"/>
      <c r="D71" s="402"/>
      <c r="E71" s="402"/>
      <c r="F71" s="402"/>
      <c r="G71" s="410" t="s">
        <v>495</v>
      </c>
      <c r="H71" s="404">
        <f>SUMIF(E52:E63,"Debt Repayment",H52:H63)</f>
        <v>510</v>
      </c>
      <c r="I71" s="431"/>
      <c r="J71" s="357"/>
      <c r="K71" s="357"/>
      <c r="L71" s="357"/>
      <c r="N71" s="346">
        <f t="shared" si="7"/>
        <v>0</v>
      </c>
      <c r="O71" s="346">
        <f t="shared" si="8"/>
        <v>0</v>
      </c>
      <c r="P71" s="346">
        <f t="shared" si="9"/>
        <v>0</v>
      </c>
      <c r="Q71" s="346">
        <f t="shared" si="10"/>
        <v>0</v>
      </c>
      <c r="R71" s="347">
        <f t="shared" si="11"/>
        <v>0</v>
      </c>
      <c r="S71" s="347">
        <f t="shared" si="12"/>
        <v>0</v>
      </c>
      <c r="T71" s="347">
        <f t="shared" si="13"/>
        <v>0</v>
      </c>
      <c r="U71" s="60"/>
      <c r="V71" s="60"/>
      <c r="W71" s="60"/>
      <c r="X71" s="60"/>
      <c r="Y71" s="60"/>
      <c r="Z71" s="60"/>
      <c r="AA71" s="60"/>
      <c r="AB71" s="60"/>
      <c r="AC71" s="60"/>
      <c r="AD71" s="60"/>
      <c r="AE71" s="60"/>
      <c r="AF71" s="60"/>
      <c r="AG71" s="60"/>
      <c r="AH71" s="60"/>
      <c r="AI71" s="60"/>
      <c r="AJ71" s="60"/>
      <c r="AK71" s="60"/>
      <c r="AL71" s="60"/>
      <c r="AM71" s="60"/>
      <c r="AN71" s="60"/>
      <c r="AO71" s="60"/>
      <c r="AP71" s="60"/>
    </row>
    <row r="72" spans="1:42" ht="18" customHeight="1">
      <c r="A72" s="60" t="s">
        <v>112</v>
      </c>
      <c r="B72" s="415"/>
      <c r="C72" s="416"/>
      <c r="D72" s="416"/>
      <c r="E72" s="416"/>
      <c r="F72" s="416"/>
      <c r="G72" s="416" t="s">
        <v>253</v>
      </c>
      <c r="H72" s="413">
        <f>H67+H70+H66+H68+H71</f>
        <v>1100.92</v>
      </c>
      <c r="I72" s="414"/>
      <c r="J72" s="60"/>
      <c r="K72" s="60"/>
      <c r="L72" s="60"/>
      <c r="N72" s="346">
        <f t="shared" si="7"/>
        <v>0</v>
      </c>
      <c r="O72" s="346">
        <f t="shared" si="8"/>
        <v>0</v>
      </c>
      <c r="P72" s="346">
        <f t="shared" si="9"/>
        <v>0</v>
      </c>
      <c r="Q72" s="346">
        <f t="shared" si="10"/>
        <v>0</v>
      </c>
      <c r="R72" s="347">
        <f t="shared" si="11"/>
        <v>0</v>
      </c>
      <c r="S72" s="347">
        <f t="shared" si="12"/>
        <v>0</v>
      </c>
      <c r="T72" s="347">
        <f t="shared" si="13"/>
        <v>0</v>
      </c>
      <c r="U72" s="60"/>
      <c r="V72" s="60"/>
      <c r="W72" s="60"/>
      <c r="X72" s="60"/>
      <c r="Y72" s="60"/>
      <c r="Z72" s="60"/>
      <c r="AA72" s="60"/>
      <c r="AB72" s="60"/>
      <c r="AC72" s="60"/>
      <c r="AD72" s="60"/>
      <c r="AE72" s="60"/>
      <c r="AF72" s="60"/>
      <c r="AG72" s="60"/>
      <c r="AH72" s="60"/>
      <c r="AI72" s="60"/>
      <c r="AJ72" s="60"/>
      <c r="AK72" s="60"/>
      <c r="AL72" s="60"/>
      <c r="AM72" s="60"/>
      <c r="AN72" s="60"/>
      <c r="AO72" s="60"/>
      <c r="AP72" s="60"/>
    </row>
    <row r="73" spans="1:42" ht="18" customHeight="1">
      <c r="A73" s="60" t="s">
        <v>112</v>
      </c>
      <c r="B73" s="577"/>
      <c r="C73" s="579"/>
      <c r="D73" s="579"/>
      <c r="E73" s="579"/>
      <c r="F73" s="579"/>
      <c r="G73" s="579" t="s">
        <v>497</v>
      </c>
      <c r="H73" s="578">
        <f>H65-(H67+H70)-H66-H68-H71</f>
        <v>244.82999999999993</v>
      </c>
      <c r="I73" s="414"/>
      <c r="J73" s="60"/>
      <c r="K73" s="60"/>
      <c r="L73" s="60"/>
      <c r="N73" s="346">
        <f t="shared" si="7"/>
        <v>0</v>
      </c>
      <c r="O73" s="346">
        <f t="shared" si="8"/>
        <v>0</v>
      </c>
      <c r="P73" s="346">
        <f t="shared" si="9"/>
        <v>0</v>
      </c>
      <c r="Q73" s="346">
        <f t="shared" si="10"/>
        <v>0</v>
      </c>
      <c r="R73" s="347">
        <f t="shared" si="11"/>
        <v>0</v>
      </c>
      <c r="S73" s="347">
        <f t="shared" si="12"/>
        <v>0</v>
      </c>
      <c r="T73" s="347">
        <f t="shared" si="13"/>
        <v>0</v>
      </c>
      <c r="U73" s="60"/>
      <c r="V73" s="60"/>
      <c r="W73" s="60"/>
      <c r="X73" s="60"/>
      <c r="Y73" s="60"/>
      <c r="Z73" s="60"/>
      <c r="AA73" s="60"/>
      <c r="AB73" s="60"/>
      <c r="AC73" s="60"/>
      <c r="AD73" s="60"/>
      <c r="AE73" s="60"/>
      <c r="AF73" s="60"/>
      <c r="AG73" s="60"/>
      <c r="AH73" s="60"/>
      <c r="AI73" s="60"/>
      <c r="AJ73" s="60"/>
      <c r="AK73" s="60"/>
      <c r="AL73" s="60"/>
      <c r="AM73" s="60"/>
      <c r="AN73" s="60"/>
      <c r="AO73" s="60"/>
      <c r="AP73" s="60"/>
    </row>
    <row r="74" spans="1:42" ht="18" customHeight="1">
      <c r="A74" s="60"/>
      <c r="B74" s="415"/>
      <c r="C74" s="416"/>
      <c r="D74" s="416"/>
      <c r="E74" s="416"/>
      <c r="F74" s="416"/>
      <c r="G74" s="416" t="s">
        <v>554</v>
      </c>
      <c r="H74" s="424">
        <f>H73+SUMIFS($H:$H,$A:$A,A73,$E:$E,"Saving Allocation")</f>
        <v>244.82999999999993</v>
      </c>
      <c r="I74" s="418"/>
      <c r="J74" s="60"/>
      <c r="K74" s="60"/>
      <c r="L74" s="60"/>
      <c r="N74" s="346"/>
      <c r="O74" s="346"/>
      <c r="P74" s="346"/>
      <c r="Q74" s="346"/>
      <c r="R74" s="347"/>
      <c r="S74" s="347"/>
      <c r="T74" s="347"/>
      <c r="U74" s="60"/>
      <c r="V74" s="60"/>
      <c r="W74" s="60"/>
      <c r="X74" s="60"/>
      <c r="Y74" s="60"/>
      <c r="Z74" s="60"/>
      <c r="AA74" s="60"/>
      <c r="AB74" s="60"/>
      <c r="AC74" s="60"/>
      <c r="AD74" s="60"/>
      <c r="AE74" s="60"/>
      <c r="AF74" s="60"/>
      <c r="AG74" s="60"/>
      <c r="AH74" s="60"/>
      <c r="AI74" s="60"/>
      <c r="AJ74" s="60"/>
      <c r="AK74" s="60"/>
      <c r="AL74" s="60"/>
      <c r="AM74" s="60"/>
      <c r="AN74" s="60"/>
      <c r="AO74" s="60"/>
      <c r="AP74" s="60"/>
    </row>
    <row r="75" spans="1:42" ht="18" customHeight="1">
      <c r="A75" s="60" t="s">
        <v>112</v>
      </c>
      <c r="B75" s="498"/>
      <c r="C75" s="425"/>
      <c r="D75" s="425"/>
      <c r="E75" s="425"/>
      <c r="F75" s="425"/>
      <c r="G75" s="425"/>
      <c r="H75" s="419"/>
      <c r="I75" s="420"/>
      <c r="J75" s="60"/>
      <c r="K75" s="60"/>
      <c r="L75" s="60"/>
      <c r="N75" s="346">
        <f t="shared" si="7"/>
        <v>0</v>
      </c>
      <c r="O75" s="346">
        <f t="shared" si="8"/>
        <v>0</v>
      </c>
      <c r="P75" s="346">
        <f t="shared" si="9"/>
        <v>0</v>
      </c>
      <c r="Q75" s="346">
        <f t="shared" si="10"/>
        <v>0</v>
      </c>
      <c r="R75" s="347">
        <f t="shared" si="11"/>
        <v>0</v>
      </c>
      <c r="S75" s="347">
        <f t="shared" si="12"/>
        <v>0</v>
      </c>
      <c r="T75" s="347">
        <f t="shared" si="13"/>
        <v>0</v>
      </c>
      <c r="U75" s="60"/>
      <c r="V75" s="60"/>
      <c r="W75" s="60"/>
      <c r="X75" s="60"/>
      <c r="Y75" s="60"/>
      <c r="Z75" s="60"/>
      <c r="AA75" s="60"/>
      <c r="AB75" s="60"/>
      <c r="AC75" s="60"/>
      <c r="AD75" s="60"/>
      <c r="AE75" s="60"/>
      <c r="AF75" s="60"/>
      <c r="AG75" s="60"/>
      <c r="AH75" s="60"/>
      <c r="AI75" s="60"/>
      <c r="AJ75" s="60"/>
      <c r="AK75" s="60"/>
      <c r="AL75" s="60"/>
      <c r="AM75" s="60"/>
      <c r="AN75" s="60"/>
      <c r="AO75" s="60"/>
      <c r="AP75" s="60"/>
    </row>
    <row r="76" spans="1:42" ht="18" customHeight="1" outlineLevel="1">
      <c r="A76" s="60" t="s">
        <v>159</v>
      </c>
      <c r="B76" s="623" t="s">
        <v>159</v>
      </c>
      <c r="C76" s="421">
        <v>46070</v>
      </c>
      <c r="D76" s="422" t="s">
        <v>204</v>
      </c>
      <c r="E76" s="422" t="s">
        <v>207</v>
      </c>
      <c r="F76" s="422" t="s">
        <v>208</v>
      </c>
      <c r="G76" s="422" t="s">
        <v>209</v>
      </c>
      <c r="H76" s="423">
        <v>1192.92</v>
      </c>
      <c r="I76" s="422" t="s">
        <v>215</v>
      </c>
      <c r="J76" s="355"/>
      <c r="K76" s="355"/>
      <c r="L76" s="355"/>
      <c r="N76" s="346">
        <f t="shared" si="7"/>
        <v>0</v>
      </c>
      <c r="O76" s="346">
        <f t="shared" si="8"/>
        <v>0</v>
      </c>
      <c r="P76" s="346">
        <f t="shared" si="9"/>
        <v>0</v>
      </c>
      <c r="Q76" s="346">
        <f t="shared" si="10"/>
        <v>0</v>
      </c>
      <c r="R76" s="347">
        <f t="shared" si="11"/>
        <v>0</v>
      </c>
      <c r="S76" s="347">
        <f t="shared" si="12"/>
        <v>0</v>
      </c>
      <c r="T76" s="347">
        <f t="shared" si="13"/>
        <v>1192.92</v>
      </c>
      <c r="U76" s="60"/>
      <c r="V76" s="60"/>
      <c r="W76" s="60"/>
      <c r="X76" s="60"/>
      <c r="Y76" s="60"/>
      <c r="Z76" s="60"/>
      <c r="AA76" s="60"/>
      <c r="AB76" s="60"/>
      <c r="AC76" s="60"/>
      <c r="AD76" s="60"/>
      <c r="AE76" s="60"/>
      <c r="AF76" s="60"/>
      <c r="AG76" s="60"/>
      <c r="AH76" s="60"/>
      <c r="AI76" s="60"/>
      <c r="AJ76" s="60"/>
      <c r="AK76" s="60"/>
      <c r="AL76" s="60"/>
      <c r="AM76" s="60"/>
      <c r="AN76" s="60"/>
      <c r="AO76" s="60"/>
      <c r="AP76" s="60"/>
    </row>
    <row r="77" spans="1:42" ht="18" customHeight="1" outlineLevel="1">
      <c r="A77" s="60" t="s">
        <v>159</v>
      </c>
      <c r="B77" s="627"/>
      <c r="C77" s="432">
        <v>46070</v>
      </c>
      <c r="D77" s="379" t="s">
        <v>100</v>
      </c>
      <c r="E77" s="380" t="s">
        <v>503</v>
      </c>
      <c r="F77" s="380" t="s">
        <v>209</v>
      </c>
      <c r="G77" s="380" t="s">
        <v>210</v>
      </c>
      <c r="H77" s="381">
        <v>150</v>
      </c>
      <c r="I77" s="380" t="s">
        <v>34</v>
      </c>
      <c r="J77" s="355"/>
      <c r="K77" s="355"/>
      <c r="L77" s="355"/>
      <c r="N77" s="346">
        <f t="shared" si="7"/>
        <v>150</v>
      </c>
      <c r="O77" s="346">
        <f t="shared" si="8"/>
        <v>0</v>
      </c>
      <c r="P77" s="346">
        <f t="shared" si="9"/>
        <v>0</v>
      </c>
      <c r="Q77" s="346">
        <f t="shared" si="10"/>
        <v>0</v>
      </c>
      <c r="R77" s="347">
        <f t="shared" si="11"/>
        <v>0</v>
      </c>
      <c r="S77" s="347">
        <f t="shared" si="12"/>
        <v>0</v>
      </c>
      <c r="T77" s="347">
        <f t="shared" si="13"/>
        <v>0</v>
      </c>
      <c r="U77" s="60"/>
      <c r="V77" s="60"/>
      <c r="W77" s="60"/>
      <c r="X77" s="60"/>
      <c r="Y77" s="60"/>
      <c r="Z77" s="60"/>
      <c r="AA77" s="60"/>
      <c r="AB77" s="60"/>
      <c r="AC77" s="60"/>
      <c r="AD77" s="60"/>
      <c r="AE77" s="60"/>
      <c r="AF77" s="60"/>
      <c r="AG77" s="60"/>
      <c r="AH77" s="60"/>
      <c r="AI77" s="60"/>
      <c r="AJ77" s="60"/>
      <c r="AK77" s="60"/>
      <c r="AL77" s="60"/>
      <c r="AM77" s="60"/>
      <c r="AN77" s="60"/>
      <c r="AO77" s="60"/>
      <c r="AP77" s="60"/>
    </row>
    <row r="78" spans="1:42" ht="18" customHeight="1" outlineLevel="1">
      <c r="A78" s="60" t="s">
        <v>159</v>
      </c>
      <c r="B78" s="627"/>
      <c r="C78" s="432">
        <v>46070</v>
      </c>
      <c r="D78" s="379" t="s">
        <v>201</v>
      </c>
      <c r="E78" s="380" t="s">
        <v>205</v>
      </c>
      <c r="F78" s="380" t="s">
        <v>209</v>
      </c>
      <c r="G78" s="380" t="s">
        <v>210</v>
      </c>
      <c r="H78" s="381">
        <v>375</v>
      </c>
      <c r="I78" s="380" t="s">
        <v>217</v>
      </c>
      <c r="J78" s="355"/>
      <c r="K78" s="355"/>
      <c r="L78" s="355"/>
      <c r="N78" s="346">
        <f t="shared" si="7"/>
        <v>0</v>
      </c>
      <c r="O78" s="346">
        <f t="shared" si="8"/>
        <v>0</v>
      </c>
      <c r="P78" s="346">
        <f t="shared" si="9"/>
        <v>0</v>
      </c>
      <c r="Q78" s="346">
        <f t="shared" si="10"/>
        <v>0</v>
      </c>
      <c r="R78" s="347">
        <f t="shared" si="11"/>
        <v>375</v>
      </c>
      <c r="S78" s="347">
        <f t="shared" si="12"/>
        <v>0</v>
      </c>
      <c r="T78" s="347">
        <f t="shared" si="13"/>
        <v>0</v>
      </c>
      <c r="U78" s="60"/>
      <c r="V78" s="60"/>
      <c r="W78" s="60"/>
      <c r="X78" s="60"/>
      <c r="Y78" s="60"/>
      <c r="Z78" s="60"/>
      <c r="AA78" s="60"/>
      <c r="AB78" s="60"/>
      <c r="AC78" s="60"/>
      <c r="AD78" s="60"/>
      <c r="AE78" s="60"/>
      <c r="AF78" s="60"/>
      <c r="AG78" s="60"/>
      <c r="AH78" s="60"/>
      <c r="AI78" s="60"/>
      <c r="AJ78" s="60"/>
      <c r="AK78" s="60"/>
      <c r="AL78" s="60"/>
      <c r="AM78" s="60"/>
      <c r="AN78" s="60"/>
      <c r="AO78" s="60"/>
      <c r="AP78" s="60"/>
    </row>
    <row r="79" spans="1:42" ht="18" customHeight="1" outlineLevel="1">
      <c r="A79" s="60" t="s">
        <v>159</v>
      </c>
      <c r="B79" s="627"/>
      <c r="C79" s="432">
        <v>46070</v>
      </c>
      <c r="D79" s="379" t="s">
        <v>202</v>
      </c>
      <c r="E79" s="380" t="s">
        <v>211</v>
      </c>
      <c r="F79" s="380" t="s">
        <v>209</v>
      </c>
      <c r="G79" s="380" t="s">
        <v>211</v>
      </c>
      <c r="H79" s="381">
        <v>200</v>
      </c>
      <c r="I79" s="380" t="s">
        <v>216</v>
      </c>
      <c r="J79" s="355"/>
      <c r="K79" s="355"/>
      <c r="L79" s="355"/>
      <c r="N79" s="346">
        <f t="shared" si="7"/>
        <v>0</v>
      </c>
      <c r="O79" s="346">
        <f t="shared" si="8"/>
        <v>0</v>
      </c>
      <c r="P79" s="346">
        <f t="shared" si="9"/>
        <v>0</v>
      </c>
      <c r="Q79" s="346">
        <f t="shared" si="10"/>
        <v>0</v>
      </c>
      <c r="R79" s="347">
        <f t="shared" si="11"/>
        <v>0</v>
      </c>
      <c r="S79" s="347">
        <f t="shared" si="12"/>
        <v>200</v>
      </c>
      <c r="T79" s="347">
        <f t="shared" si="13"/>
        <v>0</v>
      </c>
      <c r="U79" s="60"/>
      <c r="V79" s="60"/>
      <c r="W79" s="60"/>
      <c r="X79" s="60"/>
      <c r="Y79" s="60"/>
      <c r="Z79" s="60"/>
      <c r="AA79" s="60"/>
      <c r="AB79" s="60"/>
      <c r="AC79" s="60"/>
      <c r="AD79" s="60"/>
      <c r="AE79" s="60"/>
      <c r="AF79" s="60"/>
      <c r="AG79" s="60"/>
      <c r="AH79" s="60"/>
      <c r="AI79" s="60"/>
      <c r="AJ79" s="60"/>
      <c r="AK79" s="60"/>
      <c r="AL79" s="60"/>
      <c r="AM79" s="60"/>
      <c r="AN79" s="60"/>
      <c r="AO79" s="60"/>
      <c r="AP79" s="60"/>
    </row>
    <row r="80" spans="1:42" ht="18" customHeight="1" outlineLevel="1">
      <c r="A80" s="60" t="s">
        <v>159</v>
      </c>
      <c r="B80" s="627"/>
      <c r="C80" s="432">
        <v>46070</v>
      </c>
      <c r="D80" s="379" t="s">
        <v>233</v>
      </c>
      <c r="E80" s="380" t="s">
        <v>503</v>
      </c>
      <c r="F80" s="380" t="s">
        <v>209</v>
      </c>
      <c r="G80" s="380" t="s">
        <v>210</v>
      </c>
      <c r="H80" s="381">
        <v>150</v>
      </c>
      <c r="I80" s="380" t="s">
        <v>216</v>
      </c>
      <c r="J80" s="355"/>
      <c r="K80" s="355"/>
      <c r="L80" s="355"/>
      <c r="N80" s="346">
        <f t="shared" si="7"/>
        <v>150</v>
      </c>
      <c r="O80" s="346">
        <f t="shared" si="8"/>
        <v>0</v>
      </c>
      <c r="P80" s="346">
        <f t="shared" si="9"/>
        <v>0</v>
      </c>
      <c r="Q80" s="346">
        <f t="shared" si="10"/>
        <v>0</v>
      </c>
      <c r="R80" s="347">
        <f t="shared" si="11"/>
        <v>0</v>
      </c>
      <c r="S80" s="347">
        <f t="shared" si="12"/>
        <v>0</v>
      </c>
      <c r="T80" s="347">
        <f t="shared" si="13"/>
        <v>0</v>
      </c>
      <c r="U80" s="60"/>
      <c r="V80" s="60"/>
      <c r="W80" s="60"/>
      <c r="X80" s="60"/>
      <c r="Y80" s="60"/>
      <c r="Z80" s="60"/>
      <c r="AA80" s="60"/>
      <c r="AB80" s="60"/>
      <c r="AC80" s="60"/>
      <c r="AD80" s="60"/>
      <c r="AE80" s="60"/>
      <c r="AF80" s="60"/>
      <c r="AG80" s="60"/>
      <c r="AH80" s="60"/>
      <c r="AI80" s="60"/>
      <c r="AJ80" s="60"/>
      <c r="AK80" s="60"/>
      <c r="AL80" s="60"/>
      <c r="AM80" s="60"/>
      <c r="AN80" s="60"/>
      <c r="AO80" s="60"/>
      <c r="AP80" s="60"/>
    </row>
    <row r="81" spans="1:42" ht="18" customHeight="1" outlineLevel="1">
      <c r="A81" s="60" t="s">
        <v>159</v>
      </c>
      <c r="B81" s="627"/>
      <c r="C81" s="432">
        <v>46070</v>
      </c>
      <c r="D81" s="379" t="s">
        <v>234</v>
      </c>
      <c r="E81" s="380" t="s">
        <v>205</v>
      </c>
      <c r="F81" s="380" t="s">
        <v>209</v>
      </c>
      <c r="G81" s="380" t="s">
        <v>210</v>
      </c>
      <c r="H81" s="381">
        <v>375</v>
      </c>
      <c r="I81" s="380" t="s">
        <v>217</v>
      </c>
      <c r="J81" s="355"/>
      <c r="K81" s="355"/>
      <c r="L81" s="355"/>
      <c r="N81" s="346">
        <f t="shared" si="7"/>
        <v>0</v>
      </c>
      <c r="O81" s="346">
        <f t="shared" si="8"/>
        <v>0</v>
      </c>
      <c r="P81" s="346">
        <f t="shared" si="9"/>
        <v>0</v>
      </c>
      <c r="Q81" s="346">
        <f t="shared" si="10"/>
        <v>0</v>
      </c>
      <c r="R81" s="347">
        <f t="shared" si="11"/>
        <v>375</v>
      </c>
      <c r="S81" s="347">
        <f t="shared" si="12"/>
        <v>0</v>
      </c>
      <c r="T81" s="347">
        <f t="shared" si="13"/>
        <v>0</v>
      </c>
      <c r="U81" s="60"/>
      <c r="V81" s="60"/>
      <c r="W81" s="60"/>
      <c r="X81" s="60"/>
      <c r="Y81" s="60"/>
      <c r="Z81" s="60"/>
      <c r="AA81" s="60"/>
      <c r="AB81" s="60"/>
      <c r="AC81" s="60"/>
      <c r="AD81" s="60"/>
      <c r="AE81" s="60"/>
      <c r="AF81" s="60"/>
      <c r="AG81" s="60"/>
      <c r="AH81" s="60"/>
      <c r="AI81" s="60"/>
      <c r="AJ81" s="60"/>
      <c r="AK81" s="60"/>
      <c r="AL81" s="60"/>
      <c r="AM81" s="60"/>
      <c r="AN81" s="60"/>
      <c r="AO81" s="60"/>
      <c r="AP81" s="60"/>
    </row>
    <row r="82" spans="1:42" ht="18" customHeight="1" outlineLevel="1">
      <c r="A82" s="60" t="s">
        <v>159</v>
      </c>
      <c r="B82" s="627"/>
      <c r="C82" s="432">
        <v>46070</v>
      </c>
      <c r="D82" s="379" t="s">
        <v>235</v>
      </c>
      <c r="E82" s="380" t="s">
        <v>211</v>
      </c>
      <c r="F82" s="380" t="s">
        <v>209</v>
      </c>
      <c r="G82" s="380" t="s">
        <v>211</v>
      </c>
      <c r="H82" s="381">
        <v>200</v>
      </c>
      <c r="I82" s="380" t="s">
        <v>216</v>
      </c>
      <c r="J82" s="355"/>
      <c r="K82" s="355"/>
      <c r="L82" s="355"/>
      <c r="N82" s="346">
        <f t="shared" si="7"/>
        <v>0</v>
      </c>
      <c r="O82" s="346">
        <f t="shared" si="8"/>
        <v>0</v>
      </c>
      <c r="P82" s="346">
        <f t="shared" si="9"/>
        <v>0</v>
      </c>
      <c r="Q82" s="346">
        <f t="shared" si="10"/>
        <v>0</v>
      </c>
      <c r="R82" s="347">
        <f t="shared" si="11"/>
        <v>0</v>
      </c>
      <c r="S82" s="347">
        <f t="shared" si="12"/>
        <v>200</v>
      </c>
      <c r="T82" s="347">
        <f t="shared" si="13"/>
        <v>0</v>
      </c>
      <c r="U82" s="60"/>
      <c r="V82" s="60"/>
      <c r="W82" s="60"/>
      <c r="X82" s="60"/>
      <c r="Y82" s="60"/>
      <c r="Z82" s="60"/>
      <c r="AA82" s="60"/>
      <c r="AB82" s="60"/>
      <c r="AC82" s="60"/>
      <c r="AD82" s="60"/>
      <c r="AE82" s="60"/>
      <c r="AF82" s="60"/>
      <c r="AG82" s="60"/>
      <c r="AH82" s="60"/>
      <c r="AI82" s="60"/>
      <c r="AJ82" s="60"/>
      <c r="AK82" s="60"/>
      <c r="AL82" s="60"/>
      <c r="AM82" s="60"/>
      <c r="AN82" s="60"/>
      <c r="AO82" s="60"/>
      <c r="AP82" s="60"/>
    </row>
    <row r="83" spans="1:42" ht="18" customHeight="1" outlineLevel="1">
      <c r="A83" s="60" t="s">
        <v>159</v>
      </c>
      <c r="B83" s="627"/>
      <c r="C83" s="379">
        <v>46076</v>
      </c>
      <c r="D83" s="380" t="s">
        <v>236</v>
      </c>
      <c r="E83" s="380" t="s">
        <v>504</v>
      </c>
      <c r="F83" s="380" t="s">
        <v>209</v>
      </c>
      <c r="G83" s="380" t="s">
        <v>222</v>
      </c>
      <c r="H83" s="381">
        <v>4.5</v>
      </c>
      <c r="I83" s="380" t="s">
        <v>517</v>
      </c>
      <c r="J83" s="355"/>
      <c r="K83" s="355"/>
      <c r="L83" s="355"/>
      <c r="N83" s="346">
        <f t="shared" si="7"/>
        <v>4.5</v>
      </c>
      <c r="O83" s="346">
        <f t="shared" si="8"/>
        <v>0</v>
      </c>
      <c r="P83" s="346">
        <f t="shared" si="9"/>
        <v>0</v>
      </c>
      <c r="Q83" s="346">
        <f t="shared" si="10"/>
        <v>0</v>
      </c>
      <c r="R83" s="347">
        <f t="shared" si="11"/>
        <v>0</v>
      </c>
      <c r="S83" s="347">
        <f t="shared" si="12"/>
        <v>0</v>
      </c>
      <c r="T83" s="347">
        <f t="shared" si="13"/>
        <v>0</v>
      </c>
      <c r="U83" s="60"/>
      <c r="V83" s="60"/>
      <c r="W83" s="60"/>
      <c r="X83" s="60"/>
      <c r="Y83" s="60"/>
      <c r="Z83" s="60"/>
      <c r="AA83" s="60"/>
      <c r="AB83" s="60"/>
      <c r="AC83" s="60"/>
      <c r="AD83" s="60"/>
      <c r="AE83" s="60"/>
      <c r="AF83" s="60"/>
      <c r="AG83" s="60"/>
      <c r="AH83" s="60"/>
      <c r="AI83" s="60"/>
      <c r="AJ83" s="60"/>
      <c r="AK83" s="60"/>
      <c r="AL83" s="60"/>
      <c r="AM83" s="60"/>
      <c r="AN83" s="60"/>
      <c r="AO83" s="60"/>
      <c r="AP83" s="60"/>
    </row>
    <row r="84" spans="1:42" ht="18" customHeight="1">
      <c r="A84" s="60" t="s">
        <v>159</v>
      </c>
      <c r="B84" s="433"/>
      <c r="C84" s="426"/>
      <c r="D84" s="380"/>
      <c r="E84" s="380"/>
      <c r="F84" s="380"/>
      <c r="G84" s="380"/>
      <c r="H84" s="381"/>
      <c r="I84" s="380"/>
      <c r="J84" s="355"/>
      <c r="K84" s="355"/>
      <c r="L84" s="355"/>
      <c r="N84" s="346">
        <f t="shared" si="7"/>
        <v>0</v>
      </c>
      <c r="O84" s="346">
        <f t="shared" si="8"/>
        <v>0</v>
      </c>
      <c r="P84" s="346">
        <f t="shared" si="9"/>
        <v>0</v>
      </c>
      <c r="Q84" s="346">
        <f t="shared" si="10"/>
        <v>0</v>
      </c>
      <c r="R84" s="347">
        <f t="shared" si="11"/>
        <v>0</v>
      </c>
      <c r="S84" s="347">
        <f t="shared" si="12"/>
        <v>0</v>
      </c>
      <c r="T84" s="347">
        <f t="shared" si="13"/>
        <v>0</v>
      </c>
      <c r="U84" s="60"/>
      <c r="V84" s="60"/>
      <c r="W84" s="60"/>
      <c r="X84" s="60"/>
      <c r="Y84" s="60"/>
      <c r="Z84" s="60"/>
      <c r="AA84" s="60"/>
      <c r="AB84" s="60"/>
      <c r="AC84" s="60"/>
      <c r="AD84" s="60"/>
      <c r="AE84" s="60"/>
      <c r="AF84" s="60"/>
      <c r="AG84" s="60"/>
      <c r="AH84" s="60"/>
      <c r="AI84" s="60"/>
      <c r="AJ84" s="60"/>
      <c r="AK84" s="60"/>
      <c r="AL84" s="60"/>
      <c r="AM84" s="60"/>
      <c r="AN84" s="60"/>
      <c r="AO84" s="60"/>
      <c r="AP84" s="60"/>
    </row>
    <row r="85" spans="1:42" ht="18" customHeight="1">
      <c r="A85" s="60" t="s">
        <v>159</v>
      </c>
      <c r="B85" s="633" t="s">
        <v>254</v>
      </c>
      <c r="C85" s="612"/>
      <c r="D85" s="612"/>
      <c r="E85" s="612"/>
      <c r="F85" s="612"/>
      <c r="G85" s="613"/>
      <c r="H85" s="395">
        <f>SUMIF(E76:E83,"Income",H76:H83)</f>
        <v>1192.92</v>
      </c>
      <c r="I85" s="434"/>
      <c r="J85" s="358"/>
      <c r="K85" s="358"/>
      <c r="L85" s="358"/>
      <c r="N85" s="346">
        <f t="shared" si="7"/>
        <v>0</v>
      </c>
      <c r="O85" s="346">
        <f t="shared" si="8"/>
        <v>0</v>
      </c>
      <c r="P85" s="346">
        <f t="shared" si="9"/>
        <v>0</v>
      </c>
      <c r="Q85" s="346">
        <f t="shared" si="10"/>
        <v>0</v>
      </c>
      <c r="R85" s="347">
        <f t="shared" si="11"/>
        <v>0</v>
      </c>
      <c r="S85" s="347">
        <f t="shared" si="12"/>
        <v>0</v>
      </c>
      <c r="T85" s="347">
        <f t="shared" si="13"/>
        <v>0</v>
      </c>
      <c r="U85" s="60"/>
      <c r="V85" s="60"/>
      <c r="W85" s="60"/>
      <c r="X85" s="60"/>
      <c r="Y85" s="60"/>
      <c r="Z85" s="60"/>
      <c r="AA85" s="60"/>
      <c r="AB85" s="60"/>
      <c r="AC85" s="60"/>
      <c r="AD85" s="60"/>
      <c r="AE85" s="60"/>
      <c r="AF85" s="60"/>
      <c r="AG85" s="60"/>
      <c r="AH85" s="60"/>
      <c r="AI85" s="60"/>
      <c r="AJ85" s="60"/>
      <c r="AK85" s="60"/>
      <c r="AL85" s="60"/>
      <c r="AM85" s="60"/>
      <c r="AN85" s="60"/>
      <c r="AO85" s="60"/>
      <c r="AP85" s="60"/>
    </row>
    <row r="86" spans="1:42" ht="18" customHeight="1">
      <c r="A86" s="60" t="s">
        <v>159</v>
      </c>
      <c r="B86" s="435"/>
      <c r="C86" s="436"/>
      <c r="D86" s="436"/>
      <c r="E86" s="436"/>
      <c r="F86" s="615" t="s">
        <v>354</v>
      </c>
      <c r="G86" s="613"/>
      <c r="H86" s="399">
        <f>SUMIF(E76:E83,"Joint Account",H76:H83)</f>
        <v>400</v>
      </c>
      <c r="I86" s="437"/>
      <c r="J86" s="358"/>
      <c r="K86" s="358"/>
      <c r="L86" s="358"/>
      <c r="N86" s="346">
        <f t="shared" si="7"/>
        <v>0</v>
      </c>
      <c r="O86" s="346">
        <f t="shared" si="8"/>
        <v>0</v>
      </c>
      <c r="P86" s="346">
        <f t="shared" si="9"/>
        <v>0</v>
      </c>
      <c r="Q86" s="346">
        <f t="shared" si="10"/>
        <v>0</v>
      </c>
      <c r="R86" s="347">
        <f t="shared" si="11"/>
        <v>0</v>
      </c>
      <c r="S86" s="347">
        <f t="shared" si="12"/>
        <v>0</v>
      </c>
      <c r="T86" s="347">
        <f t="shared" si="13"/>
        <v>0</v>
      </c>
      <c r="U86" s="60"/>
      <c r="V86" s="60"/>
      <c r="W86" s="60"/>
      <c r="X86" s="60"/>
      <c r="Y86" s="60"/>
      <c r="Z86" s="60"/>
      <c r="AA86" s="60"/>
      <c r="AB86" s="60"/>
      <c r="AC86" s="60"/>
      <c r="AD86" s="60"/>
      <c r="AE86" s="60"/>
      <c r="AF86" s="60"/>
      <c r="AG86" s="60"/>
      <c r="AH86" s="60"/>
      <c r="AI86" s="60"/>
      <c r="AJ86" s="60"/>
      <c r="AK86" s="60"/>
      <c r="AL86" s="60"/>
      <c r="AM86" s="60"/>
      <c r="AN86" s="60"/>
      <c r="AO86" s="60"/>
      <c r="AP86" s="60"/>
    </row>
    <row r="87" spans="1:42" ht="18" customHeight="1">
      <c r="A87" s="60" t="s">
        <v>159</v>
      </c>
      <c r="B87" s="616" t="s">
        <v>226</v>
      </c>
      <c r="C87" s="612"/>
      <c r="D87" s="612"/>
      <c r="E87" s="612"/>
      <c r="F87" s="612"/>
      <c r="G87" s="613"/>
      <c r="H87" s="404">
        <f>SUMIF(E76:E83,"Recurring Expense",H76:H83)</f>
        <v>300</v>
      </c>
      <c r="I87" s="431"/>
      <c r="J87" s="357"/>
      <c r="K87" s="357"/>
      <c r="L87" s="357"/>
      <c r="N87" s="346">
        <f t="shared" si="7"/>
        <v>0</v>
      </c>
      <c r="O87" s="346">
        <f t="shared" si="8"/>
        <v>0</v>
      </c>
      <c r="P87" s="346">
        <f t="shared" si="9"/>
        <v>0</v>
      </c>
      <c r="Q87" s="346">
        <f t="shared" si="10"/>
        <v>0</v>
      </c>
      <c r="R87" s="347">
        <f t="shared" si="11"/>
        <v>0</v>
      </c>
      <c r="S87" s="347">
        <f t="shared" si="12"/>
        <v>0</v>
      </c>
      <c r="T87" s="347">
        <f t="shared" si="13"/>
        <v>0</v>
      </c>
      <c r="U87" s="60"/>
      <c r="V87" s="60"/>
      <c r="W87" s="60"/>
      <c r="X87" s="60"/>
      <c r="Y87" s="60"/>
      <c r="Z87" s="60"/>
      <c r="AA87" s="60"/>
      <c r="AB87" s="60"/>
      <c r="AC87" s="60"/>
      <c r="AD87" s="60"/>
      <c r="AE87" s="60"/>
      <c r="AF87" s="60"/>
      <c r="AG87" s="60"/>
      <c r="AH87" s="60"/>
      <c r="AI87" s="60"/>
      <c r="AJ87" s="60"/>
      <c r="AK87" s="60"/>
      <c r="AL87" s="60"/>
      <c r="AM87" s="60"/>
      <c r="AN87" s="60"/>
      <c r="AO87" s="60"/>
      <c r="AP87" s="60"/>
    </row>
    <row r="88" spans="1:42" ht="18" customHeight="1">
      <c r="A88" s="60" t="s">
        <v>159</v>
      </c>
      <c r="B88" s="616" t="s">
        <v>227</v>
      </c>
      <c r="C88" s="612"/>
      <c r="D88" s="612"/>
      <c r="E88" s="612"/>
      <c r="F88" s="612"/>
      <c r="G88" s="613"/>
      <c r="H88" s="404">
        <f>SUMIF(E76:E83,"Investment",H76:H83)</f>
        <v>0</v>
      </c>
      <c r="I88" s="431"/>
      <c r="J88" s="357"/>
      <c r="K88" s="357"/>
      <c r="L88" s="357"/>
      <c r="N88" s="346">
        <f t="shared" si="7"/>
        <v>0</v>
      </c>
      <c r="O88" s="346">
        <f t="shared" si="8"/>
        <v>0</v>
      </c>
      <c r="P88" s="346">
        <f t="shared" si="9"/>
        <v>0</v>
      </c>
      <c r="Q88" s="346">
        <f t="shared" si="10"/>
        <v>0</v>
      </c>
      <c r="R88" s="347">
        <f t="shared" si="11"/>
        <v>0</v>
      </c>
      <c r="S88" s="347">
        <f t="shared" si="12"/>
        <v>0</v>
      </c>
      <c r="T88" s="347">
        <f t="shared" si="13"/>
        <v>0</v>
      </c>
      <c r="U88" s="60"/>
      <c r="V88" s="60"/>
      <c r="W88" s="60"/>
      <c r="X88" s="60"/>
      <c r="Y88" s="60"/>
      <c r="Z88" s="60"/>
      <c r="AA88" s="60"/>
      <c r="AB88" s="60"/>
      <c r="AC88" s="60"/>
      <c r="AD88" s="60"/>
      <c r="AE88" s="60"/>
      <c r="AF88" s="60"/>
      <c r="AG88" s="60"/>
      <c r="AH88" s="60"/>
      <c r="AI88" s="60"/>
      <c r="AJ88" s="60"/>
      <c r="AK88" s="60"/>
      <c r="AL88" s="60"/>
      <c r="AM88" s="60"/>
      <c r="AN88" s="60"/>
      <c r="AO88" s="60"/>
      <c r="AP88" s="60"/>
    </row>
    <row r="89" spans="1:42" ht="18" customHeight="1">
      <c r="A89" s="60" t="s">
        <v>159</v>
      </c>
      <c r="B89" s="616" t="s">
        <v>250</v>
      </c>
      <c r="C89" s="612"/>
      <c r="D89" s="612"/>
      <c r="E89" s="612"/>
      <c r="F89" s="612"/>
      <c r="G89" s="613"/>
      <c r="H89" s="404">
        <f>SUMIF(E76:E83,"Saving Allocation",H76:H83)</f>
        <v>0</v>
      </c>
      <c r="I89" s="431"/>
      <c r="J89" s="357"/>
      <c r="K89" s="357"/>
      <c r="L89" s="357"/>
      <c r="N89" s="346">
        <f t="shared" si="7"/>
        <v>0</v>
      </c>
      <c r="O89" s="346">
        <f t="shared" si="8"/>
        <v>0</v>
      </c>
      <c r="P89" s="346">
        <f t="shared" si="9"/>
        <v>0</v>
      </c>
      <c r="Q89" s="346">
        <f t="shared" si="10"/>
        <v>0</v>
      </c>
      <c r="R89" s="347">
        <f t="shared" si="11"/>
        <v>0</v>
      </c>
      <c r="S89" s="347">
        <f t="shared" si="12"/>
        <v>0</v>
      </c>
      <c r="T89" s="347">
        <f t="shared" si="13"/>
        <v>0</v>
      </c>
      <c r="U89" s="60"/>
      <c r="V89" s="60"/>
      <c r="W89" s="60"/>
      <c r="X89" s="60"/>
      <c r="Y89" s="60"/>
      <c r="Z89" s="60"/>
      <c r="AA89" s="60"/>
      <c r="AB89" s="60"/>
      <c r="AC89" s="60"/>
      <c r="AD89" s="60"/>
      <c r="AE89" s="60"/>
      <c r="AF89" s="60"/>
      <c r="AG89" s="60"/>
      <c r="AH89" s="60"/>
      <c r="AI89" s="60"/>
      <c r="AJ89" s="60"/>
      <c r="AK89" s="60"/>
      <c r="AL89" s="60"/>
      <c r="AM89" s="60"/>
      <c r="AN89" s="60"/>
      <c r="AO89" s="60"/>
      <c r="AP89" s="60"/>
    </row>
    <row r="90" spans="1:42" ht="18" customHeight="1">
      <c r="A90" s="60" t="s">
        <v>159</v>
      </c>
      <c r="B90" s="616" t="s">
        <v>251</v>
      </c>
      <c r="C90" s="612"/>
      <c r="D90" s="612"/>
      <c r="E90" s="612"/>
      <c r="F90" s="612"/>
      <c r="G90" s="613"/>
      <c r="H90" s="404">
        <f>SUMIF(E76:E83,"Personal Expense",H76:H83)</f>
        <v>4.5</v>
      </c>
      <c r="I90" s="431"/>
      <c r="J90" s="357"/>
      <c r="K90" s="357"/>
      <c r="L90" s="357"/>
      <c r="N90" s="346">
        <f t="shared" si="7"/>
        <v>0</v>
      </c>
      <c r="O90" s="346">
        <f t="shared" si="8"/>
        <v>0</v>
      </c>
      <c r="P90" s="346">
        <f t="shared" si="9"/>
        <v>0</v>
      </c>
      <c r="Q90" s="346">
        <f t="shared" si="10"/>
        <v>0</v>
      </c>
      <c r="R90" s="347">
        <f t="shared" si="11"/>
        <v>0</v>
      </c>
      <c r="S90" s="347">
        <f t="shared" si="12"/>
        <v>0</v>
      </c>
      <c r="T90" s="347">
        <f t="shared" si="13"/>
        <v>0</v>
      </c>
      <c r="U90" s="60"/>
      <c r="V90" s="60"/>
      <c r="W90" s="60"/>
      <c r="X90" s="60"/>
      <c r="Y90" s="60"/>
      <c r="Z90" s="60"/>
      <c r="AA90" s="60"/>
      <c r="AB90" s="60"/>
      <c r="AC90" s="60"/>
      <c r="AD90" s="60"/>
      <c r="AE90" s="60"/>
      <c r="AF90" s="60"/>
      <c r="AG90" s="60"/>
      <c r="AH90" s="60"/>
      <c r="AI90" s="60"/>
      <c r="AJ90" s="60"/>
      <c r="AK90" s="60"/>
      <c r="AL90" s="60"/>
      <c r="AM90" s="60"/>
      <c r="AN90" s="60"/>
      <c r="AO90" s="60"/>
      <c r="AP90" s="60"/>
    </row>
    <row r="91" spans="1:42" ht="18" customHeight="1">
      <c r="A91" s="60" t="s">
        <v>159</v>
      </c>
      <c r="B91" s="401"/>
      <c r="C91" s="402"/>
      <c r="D91" s="402"/>
      <c r="E91" s="402"/>
      <c r="F91" s="402"/>
      <c r="G91" s="438" t="s">
        <v>495</v>
      </c>
      <c r="H91" s="404">
        <f>SUMIF(E76:E83,"Debt Repayment",H76:H83)</f>
        <v>750</v>
      </c>
      <c r="I91" s="431"/>
      <c r="J91" s="357"/>
      <c r="K91" s="357"/>
      <c r="L91" s="357"/>
      <c r="N91" s="346">
        <f t="shared" si="7"/>
        <v>0</v>
      </c>
      <c r="O91" s="346">
        <f t="shared" si="8"/>
        <v>0</v>
      </c>
      <c r="P91" s="346">
        <f t="shared" si="9"/>
        <v>0</v>
      </c>
      <c r="Q91" s="346">
        <f t="shared" si="10"/>
        <v>0</v>
      </c>
      <c r="R91" s="347">
        <f t="shared" si="11"/>
        <v>0</v>
      </c>
      <c r="S91" s="347">
        <f t="shared" si="12"/>
        <v>0</v>
      </c>
      <c r="T91" s="347">
        <f t="shared" si="13"/>
        <v>0</v>
      </c>
      <c r="U91" s="60"/>
      <c r="V91" s="60"/>
      <c r="W91" s="60"/>
      <c r="X91" s="60"/>
      <c r="Y91" s="60"/>
      <c r="Z91" s="60"/>
      <c r="AA91" s="60"/>
      <c r="AB91" s="60"/>
      <c r="AC91" s="60"/>
      <c r="AD91" s="60"/>
      <c r="AE91" s="60"/>
      <c r="AF91" s="60"/>
      <c r="AG91" s="60"/>
      <c r="AH91" s="60"/>
      <c r="AI91" s="60"/>
      <c r="AJ91" s="60"/>
      <c r="AK91" s="60"/>
      <c r="AL91" s="60"/>
      <c r="AM91" s="60"/>
      <c r="AN91" s="60"/>
      <c r="AO91" s="60"/>
      <c r="AP91" s="60"/>
    </row>
    <row r="92" spans="1:42" ht="18" customHeight="1">
      <c r="A92" s="60" t="s">
        <v>159</v>
      </c>
      <c r="B92" s="415"/>
      <c r="C92" s="416"/>
      <c r="D92" s="416"/>
      <c r="E92" s="416"/>
      <c r="F92" s="416"/>
      <c r="G92" s="416" t="s">
        <v>253</v>
      </c>
      <c r="H92" s="413">
        <f>H87+H90+H86+H88+H91</f>
        <v>1454.5</v>
      </c>
      <c r="I92" s="414"/>
      <c r="J92" s="60"/>
      <c r="K92" s="60"/>
      <c r="L92" s="60"/>
      <c r="N92" s="346">
        <f t="shared" si="7"/>
        <v>0</v>
      </c>
      <c r="O92" s="346">
        <f t="shared" si="8"/>
        <v>0</v>
      </c>
      <c r="P92" s="346">
        <f t="shared" si="9"/>
        <v>0</v>
      </c>
      <c r="Q92" s="346">
        <f t="shared" si="10"/>
        <v>0</v>
      </c>
      <c r="R92" s="347">
        <f t="shared" si="11"/>
        <v>0</v>
      </c>
      <c r="S92" s="347">
        <f t="shared" si="12"/>
        <v>0</v>
      </c>
      <c r="T92" s="347">
        <f t="shared" si="13"/>
        <v>0</v>
      </c>
      <c r="U92" s="60"/>
      <c r="V92" s="60"/>
      <c r="W92" s="60"/>
      <c r="X92" s="60"/>
      <c r="Y92" s="60"/>
      <c r="Z92" s="60"/>
      <c r="AA92" s="60"/>
      <c r="AB92" s="60"/>
      <c r="AC92" s="60"/>
      <c r="AD92" s="60"/>
      <c r="AE92" s="60"/>
      <c r="AF92" s="60"/>
      <c r="AG92" s="60"/>
      <c r="AH92" s="60"/>
      <c r="AI92" s="60"/>
      <c r="AJ92" s="60"/>
      <c r="AK92" s="60"/>
      <c r="AL92" s="60"/>
      <c r="AM92" s="60"/>
      <c r="AN92" s="60"/>
      <c r="AO92" s="60"/>
      <c r="AP92" s="60"/>
    </row>
    <row r="93" spans="1:42" ht="18" customHeight="1">
      <c r="A93" s="60" t="s">
        <v>159</v>
      </c>
      <c r="B93" s="577"/>
      <c r="C93" s="579"/>
      <c r="D93" s="579"/>
      <c r="E93" s="579"/>
      <c r="F93" s="579"/>
      <c r="G93" s="579" t="s">
        <v>497</v>
      </c>
      <c r="H93" s="578">
        <f>H85-(H87+H90)-H86-H88-H91</f>
        <v>-261.57999999999993</v>
      </c>
      <c r="I93" s="414"/>
      <c r="J93" s="60"/>
      <c r="K93" s="60"/>
      <c r="L93" s="60"/>
      <c r="N93" s="346">
        <f t="shared" si="7"/>
        <v>0</v>
      </c>
      <c r="O93" s="346">
        <f t="shared" si="8"/>
        <v>0</v>
      </c>
      <c r="P93" s="346">
        <f t="shared" si="9"/>
        <v>0</v>
      </c>
      <c r="Q93" s="346">
        <f t="shared" si="10"/>
        <v>0</v>
      </c>
      <c r="R93" s="347">
        <f t="shared" si="11"/>
        <v>0</v>
      </c>
      <c r="S93" s="347">
        <f t="shared" si="12"/>
        <v>0</v>
      </c>
      <c r="T93" s="347">
        <f t="shared" si="13"/>
        <v>0</v>
      </c>
      <c r="U93" s="60"/>
      <c r="V93" s="60"/>
      <c r="W93" s="60"/>
      <c r="X93" s="60"/>
      <c r="Y93" s="60"/>
      <c r="Z93" s="60"/>
      <c r="AA93" s="60"/>
      <c r="AB93" s="60"/>
      <c r="AC93" s="60"/>
      <c r="AD93" s="60"/>
      <c r="AE93" s="60"/>
      <c r="AF93" s="60"/>
      <c r="AG93" s="60"/>
      <c r="AH93" s="60"/>
      <c r="AI93" s="60"/>
      <c r="AJ93" s="60"/>
      <c r="AK93" s="60"/>
      <c r="AL93" s="60"/>
      <c r="AM93" s="60"/>
      <c r="AN93" s="60"/>
      <c r="AO93" s="60"/>
      <c r="AP93" s="60"/>
    </row>
    <row r="94" spans="1:42" ht="18" customHeight="1">
      <c r="A94" s="60"/>
      <c r="B94" s="415"/>
      <c r="C94" s="416"/>
      <c r="D94" s="416"/>
      <c r="E94" s="416"/>
      <c r="F94" s="416"/>
      <c r="G94" s="416" t="s">
        <v>554</v>
      </c>
      <c r="H94" s="439">
        <f>H93+SUMIFS($H:$H,$A:$A,A93,$E:$E,"Saving Allocation")</f>
        <v>-261.57999999999993</v>
      </c>
      <c r="I94" s="418"/>
      <c r="J94" s="60"/>
      <c r="K94" s="60"/>
      <c r="L94" s="60"/>
      <c r="N94" s="346"/>
      <c r="O94" s="346"/>
      <c r="P94" s="346"/>
      <c r="Q94" s="346"/>
      <c r="R94" s="347"/>
      <c r="S94" s="347"/>
      <c r="T94" s="347"/>
      <c r="U94" s="60"/>
      <c r="V94" s="60"/>
      <c r="W94" s="60"/>
      <c r="X94" s="60"/>
      <c r="Y94" s="60"/>
      <c r="Z94" s="60"/>
      <c r="AA94" s="60"/>
      <c r="AB94" s="60"/>
      <c r="AC94" s="60"/>
      <c r="AD94" s="60"/>
      <c r="AE94" s="60"/>
      <c r="AF94" s="60"/>
      <c r="AG94" s="60"/>
      <c r="AH94" s="60"/>
      <c r="AI94" s="60"/>
      <c r="AJ94" s="60"/>
      <c r="AK94" s="60"/>
      <c r="AL94" s="60"/>
      <c r="AM94" s="60"/>
      <c r="AN94" s="60"/>
      <c r="AO94" s="60"/>
      <c r="AP94" s="60"/>
    </row>
    <row r="95" spans="1:42" ht="18" customHeight="1">
      <c r="A95" s="60" t="s">
        <v>159</v>
      </c>
      <c r="B95" s="498"/>
      <c r="C95" s="425"/>
      <c r="D95" s="425"/>
      <c r="E95" s="425"/>
      <c r="F95" s="425"/>
      <c r="G95" s="425"/>
      <c r="H95" s="419"/>
      <c r="I95" s="420"/>
      <c r="J95" s="60"/>
      <c r="K95" s="60"/>
      <c r="L95" s="60"/>
      <c r="N95" s="346">
        <f t="shared" si="7"/>
        <v>0</v>
      </c>
      <c r="O95" s="346">
        <f t="shared" si="8"/>
        <v>0</v>
      </c>
      <c r="P95" s="346">
        <f t="shared" si="9"/>
        <v>0</v>
      </c>
      <c r="Q95" s="346">
        <f t="shared" si="10"/>
        <v>0</v>
      </c>
      <c r="R95" s="347">
        <f t="shared" si="11"/>
        <v>0</v>
      </c>
      <c r="S95" s="347">
        <f t="shared" si="12"/>
        <v>0</v>
      </c>
      <c r="T95" s="347">
        <f t="shared" si="13"/>
        <v>0</v>
      </c>
      <c r="U95" s="60"/>
      <c r="V95" s="60"/>
      <c r="W95" s="60"/>
      <c r="X95" s="60"/>
      <c r="Y95" s="60"/>
      <c r="Z95" s="60"/>
      <c r="AA95" s="60"/>
      <c r="AB95" s="60"/>
      <c r="AC95" s="60"/>
      <c r="AD95" s="60"/>
      <c r="AE95" s="60"/>
      <c r="AF95" s="60"/>
      <c r="AG95" s="60"/>
      <c r="AH95" s="60"/>
      <c r="AI95" s="60"/>
      <c r="AJ95" s="60"/>
      <c r="AK95" s="60"/>
      <c r="AL95" s="60"/>
      <c r="AM95" s="60"/>
      <c r="AN95" s="60"/>
      <c r="AO95" s="60"/>
      <c r="AP95" s="60"/>
    </row>
    <row r="96" spans="1:42" ht="18" customHeight="1" outlineLevel="1">
      <c r="A96" s="60" t="s">
        <v>160</v>
      </c>
      <c r="B96" s="623" t="s">
        <v>160</v>
      </c>
      <c r="C96" s="377" t="s">
        <v>252</v>
      </c>
      <c r="D96" s="440" t="s">
        <v>242</v>
      </c>
      <c r="E96" s="377" t="s">
        <v>505</v>
      </c>
      <c r="F96" s="377" t="s">
        <v>252</v>
      </c>
      <c r="G96" s="377" t="s">
        <v>252</v>
      </c>
      <c r="H96" s="441">
        <v>0</v>
      </c>
      <c r="I96" s="377" t="s">
        <v>252</v>
      </c>
      <c r="J96" s="355"/>
      <c r="K96" s="355"/>
      <c r="L96" s="355"/>
      <c r="N96" s="346">
        <f t="shared" si="7"/>
        <v>0</v>
      </c>
      <c r="O96" s="346">
        <f t="shared" si="8"/>
        <v>0</v>
      </c>
      <c r="P96" s="346">
        <f t="shared" si="9"/>
        <v>0</v>
      </c>
      <c r="Q96" s="346">
        <f t="shared" si="10"/>
        <v>0</v>
      </c>
      <c r="R96" s="347">
        <f t="shared" si="11"/>
        <v>0</v>
      </c>
      <c r="S96" s="347">
        <f t="shared" si="12"/>
        <v>0</v>
      </c>
      <c r="T96" s="347">
        <f t="shared" si="13"/>
        <v>0</v>
      </c>
      <c r="U96" s="60"/>
      <c r="V96" s="60"/>
      <c r="W96" s="60"/>
      <c r="X96" s="60"/>
      <c r="Y96" s="60"/>
      <c r="Z96" s="60"/>
      <c r="AA96" s="60"/>
      <c r="AB96" s="60"/>
      <c r="AC96" s="60"/>
      <c r="AD96" s="60"/>
      <c r="AE96" s="60"/>
      <c r="AF96" s="60"/>
      <c r="AG96" s="60"/>
      <c r="AH96" s="60"/>
      <c r="AI96" s="60"/>
      <c r="AJ96" s="60"/>
      <c r="AK96" s="60"/>
      <c r="AL96" s="60"/>
      <c r="AM96" s="60"/>
      <c r="AN96" s="60"/>
      <c r="AO96" s="60"/>
      <c r="AP96" s="60"/>
    </row>
    <row r="97" spans="1:42" ht="18" customHeight="1" outlineLevel="1">
      <c r="A97" s="60" t="s">
        <v>160</v>
      </c>
      <c r="B97" s="627"/>
      <c r="C97" s="379">
        <v>46077</v>
      </c>
      <c r="D97" s="380" t="s">
        <v>177</v>
      </c>
      <c r="E97" s="380" t="s">
        <v>504</v>
      </c>
      <c r="F97" s="380" t="s">
        <v>209</v>
      </c>
      <c r="G97" s="380" t="s">
        <v>222</v>
      </c>
      <c r="H97" s="381">
        <v>2.5</v>
      </c>
      <c r="I97" s="380" t="s">
        <v>219</v>
      </c>
      <c r="J97" s="355"/>
      <c r="K97" s="355"/>
      <c r="L97" s="355"/>
      <c r="N97" s="346">
        <f t="shared" si="7"/>
        <v>2.5</v>
      </c>
      <c r="O97" s="346">
        <f t="shared" si="8"/>
        <v>0</v>
      </c>
      <c r="P97" s="346">
        <f t="shared" si="9"/>
        <v>0</v>
      </c>
      <c r="Q97" s="346">
        <f t="shared" si="10"/>
        <v>0</v>
      </c>
      <c r="R97" s="347">
        <f t="shared" si="11"/>
        <v>0</v>
      </c>
      <c r="S97" s="347">
        <f t="shared" si="12"/>
        <v>0</v>
      </c>
      <c r="T97" s="347">
        <f t="shared" si="13"/>
        <v>0</v>
      </c>
      <c r="U97" s="60"/>
      <c r="V97" s="60"/>
      <c r="W97" s="60"/>
      <c r="X97" s="60"/>
      <c r="Y97" s="60"/>
      <c r="Z97" s="60"/>
      <c r="AA97" s="60"/>
      <c r="AB97" s="60"/>
      <c r="AC97" s="60"/>
      <c r="AD97" s="60"/>
      <c r="AE97" s="60"/>
      <c r="AF97" s="60"/>
      <c r="AG97" s="60"/>
      <c r="AH97" s="60"/>
      <c r="AI97" s="60"/>
      <c r="AJ97" s="60"/>
      <c r="AK97" s="60"/>
      <c r="AL97" s="60"/>
      <c r="AM97" s="60"/>
      <c r="AN97" s="60"/>
      <c r="AO97" s="60"/>
      <c r="AP97" s="60"/>
    </row>
    <row r="98" spans="1:42" ht="18" customHeight="1" outlineLevel="1">
      <c r="A98" s="60" t="s">
        <v>160</v>
      </c>
      <c r="B98" s="627"/>
      <c r="C98" s="379">
        <v>46077</v>
      </c>
      <c r="D98" s="380" t="s">
        <v>238</v>
      </c>
      <c r="E98" s="380" t="s">
        <v>504</v>
      </c>
      <c r="F98" s="380" t="s">
        <v>209</v>
      </c>
      <c r="G98" s="380" t="s">
        <v>222</v>
      </c>
      <c r="H98" s="381">
        <v>35.42</v>
      </c>
      <c r="I98" s="380" t="s">
        <v>219</v>
      </c>
      <c r="J98" s="355"/>
      <c r="K98" s="355"/>
      <c r="L98" s="355"/>
      <c r="N98" s="346">
        <f t="shared" si="7"/>
        <v>35.42</v>
      </c>
      <c r="O98" s="346">
        <f t="shared" si="8"/>
        <v>0</v>
      </c>
      <c r="P98" s="346">
        <f t="shared" si="9"/>
        <v>0</v>
      </c>
      <c r="Q98" s="346">
        <f t="shared" si="10"/>
        <v>0</v>
      </c>
      <c r="R98" s="347">
        <f t="shared" si="11"/>
        <v>0</v>
      </c>
      <c r="S98" s="347">
        <f t="shared" si="12"/>
        <v>0</v>
      </c>
      <c r="T98" s="347">
        <f t="shared" si="13"/>
        <v>0</v>
      </c>
      <c r="U98" s="60"/>
      <c r="V98" s="60"/>
      <c r="W98" s="60"/>
      <c r="X98" s="60"/>
      <c r="Y98" s="60"/>
      <c r="Z98" s="60"/>
      <c r="AA98" s="60"/>
      <c r="AB98" s="60"/>
      <c r="AC98" s="60"/>
      <c r="AD98" s="60"/>
      <c r="AE98" s="60"/>
      <c r="AF98" s="60"/>
      <c r="AG98" s="60"/>
      <c r="AH98" s="60"/>
      <c r="AI98" s="60"/>
      <c r="AJ98" s="60"/>
      <c r="AK98" s="60"/>
      <c r="AL98" s="60"/>
      <c r="AM98" s="60"/>
      <c r="AN98" s="60"/>
      <c r="AO98" s="60"/>
      <c r="AP98" s="60"/>
    </row>
    <row r="99" spans="1:42" ht="18" customHeight="1" outlineLevel="1">
      <c r="A99" s="60" t="s">
        <v>160</v>
      </c>
      <c r="B99" s="627"/>
      <c r="C99" s="379">
        <v>46077</v>
      </c>
      <c r="D99" s="380" t="s">
        <v>237</v>
      </c>
      <c r="E99" s="380" t="s">
        <v>504</v>
      </c>
      <c r="F99" s="380" t="s">
        <v>209</v>
      </c>
      <c r="G99" s="380" t="s">
        <v>222</v>
      </c>
      <c r="H99" s="381">
        <v>52.35</v>
      </c>
      <c r="I99" s="380" t="s">
        <v>219</v>
      </c>
      <c r="J99" s="355"/>
      <c r="K99" s="355"/>
      <c r="L99" s="355"/>
      <c r="N99" s="346">
        <f t="shared" si="7"/>
        <v>52.35</v>
      </c>
      <c r="O99" s="346">
        <f t="shared" si="8"/>
        <v>0</v>
      </c>
      <c r="P99" s="346">
        <f t="shared" si="9"/>
        <v>0</v>
      </c>
      <c r="Q99" s="346">
        <f t="shared" si="10"/>
        <v>0</v>
      </c>
      <c r="R99" s="347">
        <f t="shared" si="11"/>
        <v>0</v>
      </c>
      <c r="S99" s="347">
        <f t="shared" si="12"/>
        <v>0</v>
      </c>
      <c r="T99" s="347">
        <f t="shared" si="13"/>
        <v>0</v>
      </c>
      <c r="U99" s="60"/>
      <c r="V99" s="60"/>
      <c r="W99" s="60"/>
      <c r="X99" s="60"/>
      <c r="Y99" s="60"/>
      <c r="Z99" s="60"/>
      <c r="AA99" s="60"/>
      <c r="AB99" s="60"/>
      <c r="AC99" s="60"/>
      <c r="AD99" s="60"/>
      <c r="AE99" s="60"/>
      <c r="AF99" s="60"/>
      <c r="AG99" s="60"/>
      <c r="AH99" s="60"/>
      <c r="AI99" s="60"/>
      <c r="AJ99" s="60"/>
      <c r="AK99" s="60"/>
      <c r="AL99" s="60"/>
      <c r="AM99" s="60"/>
      <c r="AN99" s="60"/>
      <c r="AO99" s="60"/>
      <c r="AP99" s="60"/>
    </row>
    <row r="100" spans="1:42" ht="18" customHeight="1" outlineLevel="1">
      <c r="A100" s="60" t="s">
        <v>160</v>
      </c>
      <c r="B100" s="627"/>
      <c r="C100" s="379">
        <v>46077</v>
      </c>
      <c r="D100" s="380" t="s">
        <v>239</v>
      </c>
      <c r="E100" s="380" t="s">
        <v>504</v>
      </c>
      <c r="F100" s="380" t="s">
        <v>209</v>
      </c>
      <c r="G100" s="380" t="s">
        <v>222</v>
      </c>
      <c r="H100" s="381">
        <v>13.9</v>
      </c>
      <c r="I100" s="380" t="s">
        <v>517</v>
      </c>
      <c r="J100" s="355"/>
      <c r="K100" s="355"/>
      <c r="L100" s="355"/>
      <c r="N100" s="346">
        <f t="shared" si="7"/>
        <v>13.9</v>
      </c>
      <c r="O100" s="346">
        <f t="shared" si="8"/>
        <v>0</v>
      </c>
      <c r="P100" s="346">
        <f t="shared" si="9"/>
        <v>0</v>
      </c>
      <c r="Q100" s="346">
        <f t="shared" si="10"/>
        <v>0</v>
      </c>
      <c r="R100" s="347">
        <f t="shared" si="11"/>
        <v>0</v>
      </c>
      <c r="S100" s="347">
        <f t="shared" si="12"/>
        <v>0</v>
      </c>
      <c r="T100" s="347">
        <f t="shared" si="13"/>
        <v>0</v>
      </c>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row>
    <row r="101" spans="1:42" ht="18" customHeight="1" outlineLevel="1">
      <c r="A101" s="60" t="s">
        <v>160</v>
      </c>
      <c r="B101" s="627"/>
      <c r="C101" s="379">
        <v>46077</v>
      </c>
      <c r="D101" s="379" t="s">
        <v>151</v>
      </c>
      <c r="E101" s="380" t="s">
        <v>504</v>
      </c>
      <c r="F101" s="380" t="s">
        <v>209</v>
      </c>
      <c r="G101" s="380" t="s">
        <v>222</v>
      </c>
      <c r="H101" s="381">
        <v>10</v>
      </c>
      <c r="I101" s="380" t="s">
        <v>219</v>
      </c>
      <c r="J101" s="355"/>
      <c r="K101" s="355"/>
      <c r="L101" s="355"/>
      <c r="N101" s="346">
        <f t="shared" si="7"/>
        <v>10</v>
      </c>
      <c r="O101" s="346">
        <f t="shared" si="8"/>
        <v>0</v>
      </c>
      <c r="P101" s="346">
        <f t="shared" si="9"/>
        <v>0</v>
      </c>
      <c r="Q101" s="346">
        <f t="shared" si="10"/>
        <v>0</v>
      </c>
      <c r="R101" s="347">
        <f t="shared" si="11"/>
        <v>0</v>
      </c>
      <c r="S101" s="347">
        <f t="shared" si="12"/>
        <v>0</v>
      </c>
      <c r="T101" s="347">
        <f t="shared" si="13"/>
        <v>0</v>
      </c>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row>
    <row r="102" spans="1:42" ht="18" customHeight="1" outlineLevel="1">
      <c r="A102" s="60" t="s">
        <v>160</v>
      </c>
      <c r="B102" s="627"/>
      <c r="C102" s="379">
        <v>46079</v>
      </c>
      <c r="D102" s="379" t="s">
        <v>35</v>
      </c>
      <c r="E102" s="380" t="s">
        <v>504</v>
      </c>
      <c r="F102" s="380" t="s">
        <v>209</v>
      </c>
      <c r="G102" s="380" t="s">
        <v>222</v>
      </c>
      <c r="H102" s="381">
        <v>28.2</v>
      </c>
      <c r="I102" s="380" t="s">
        <v>517</v>
      </c>
      <c r="J102" s="355"/>
      <c r="K102" s="355"/>
      <c r="L102" s="355"/>
      <c r="N102" s="346">
        <f t="shared" si="7"/>
        <v>28.2</v>
      </c>
      <c r="O102" s="346">
        <f t="shared" si="8"/>
        <v>0</v>
      </c>
      <c r="P102" s="346">
        <f t="shared" si="9"/>
        <v>0</v>
      </c>
      <c r="Q102" s="346">
        <f t="shared" si="10"/>
        <v>0</v>
      </c>
      <c r="R102" s="347">
        <f t="shared" si="11"/>
        <v>0</v>
      </c>
      <c r="S102" s="347">
        <f t="shared" si="12"/>
        <v>0</v>
      </c>
      <c r="T102" s="347">
        <f t="shared" si="13"/>
        <v>0</v>
      </c>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row>
    <row r="103" spans="1:42" ht="18" customHeight="1" outlineLevel="1">
      <c r="A103" s="60" t="s">
        <v>160</v>
      </c>
      <c r="B103" s="627"/>
      <c r="C103" s="379">
        <v>46079</v>
      </c>
      <c r="D103" s="379" t="s">
        <v>35</v>
      </c>
      <c r="E103" s="380" t="s">
        <v>504</v>
      </c>
      <c r="F103" s="380" t="s">
        <v>209</v>
      </c>
      <c r="G103" s="380" t="s">
        <v>222</v>
      </c>
      <c r="H103" s="381">
        <v>4.71</v>
      </c>
      <c r="I103" s="380" t="s">
        <v>517</v>
      </c>
      <c r="J103" s="355"/>
      <c r="K103" s="355"/>
      <c r="L103" s="355"/>
      <c r="N103" s="346">
        <f t="shared" si="7"/>
        <v>4.71</v>
      </c>
      <c r="O103" s="346">
        <f t="shared" si="8"/>
        <v>0</v>
      </c>
      <c r="P103" s="346">
        <f t="shared" si="9"/>
        <v>0</v>
      </c>
      <c r="Q103" s="346">
        <f t="shared" si="10"/>
        <v>0</v>
      </c>
      <c r="R103" s="347">
        <f t="shared" si="11"/>
        <v>0</v>
      </c>
      <c r="S103" s="347">
        <f t="shared" si="12"/>
        <v>0</v>
      </c>
      <c r="T103" s="347">
        <f t="shared" si="13"/>
        <v>0</v>
      </c>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row>
    <row r="104" spans="1:42" ht="18" customHeight="1" outlineLevel="1">
      <c r="A104" s="60" t="s">
        <v>160</v>
      </c>
      <c r="B104" s="627"/>
      <c r="C104" s="379">
        <v>46079</v>
      </c>
      <c r="D104" s="379" t="s">
        <v>240</v>
      </c>
      <c r="E104" s="380" t="s">
        <v>504</v>
      </c>
      <c r="F104" s="380" t="s">
        <v>209</v>
      </c>
      <c r="G104" s="380" t="s">
        <v>222</v>
      </c>
      <c r="H104" s="381">
        <v>11.5</v>
      </c>
      <c r="I104" s="380" t="s">
        <v>220</v>
      </c>
      <c r="J104" s="355"/>
      <c r="K104" s="355"/>
      <c r="L104" s="355"/>
      <c r="N104" s="346">
        <f t="shared" si="7"/>
        <v>11.5</v>
      </c>
      <c r="O104" s="346">
        <f t="shared" si="8"/>
        <v>0</v>
      </c>
      <c r="P104" s="346">
        <f t="shared" si="9"/>
        <v>0</v>
      </c>
      <c r="Q104" s="346">
        <f t="shared" si="10"/>
        <v>0</v>
      </c>
      <c r="R104" s="347">
        <f t="shared" si="11"/>
        <v>0</v>
      </c>
      <c r="S104" s="347">
        <f t="shared" si="12"/>
        <v>0</v>
      </c>
      <c r="T104" s="347">
        <f t="shared" si="13"/>
        <v>0</v>
      </c>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row>
    <row r="105" spans="1:42" ht="18" customHeight="1" outlineLevel="1">
      <c r="A105" s="60" t="s">
        <v>160</v>
      </c>
      <c r="B105" s="627"/>
      <c r="C105" s="379">
        <v>46080</v>
      </c>
      <c r="D105" s="379" t="s">
        <v>241</v>
      </c>
      <c r="E105" s="380" t="s">
        <v>504</v>
      </c>
      <c r="F105" s="380" t="s">
        <v>209</v>
      </c>
      <c r="G105" s="380" t="s">
        <v>222</v>
      </c>
      <c r="H105" s="381">
        <v>1</v>
      </c>
      <c r="I105" s="380" t="s">
        <v>517</v>
      </c>
      <c r="J105" s="355"/>
      <c r="K105" s="355"/>
      <c r="L105" s="355"/>
      <c r="N105" s="346">
        <f t="shared" si="7"/>
        <v>1</v>
      </c>
      <c r="O105" s="346">
        <f t="shared" si="8"/>
        <v>0</v>
      </c>
      <c r="P105" s="346">
        <f t="shared" si="9"/>
        <v>0</v>
      </c>
      <c r="Q105" s="346">
        <f t="shared" si="10"/>
        <v>0</v>
      </c>
      <c r="R105" s="347">
        <f t="shared" si="11"/>
        <v>0</v>
      </c>
      <c r="S105" s="347">
        <f t="shared" si="12"/>
        <v>0</v>
      </c>
      <c r="T105" s="347">
        <f t="shared" si="13"/>
        <v>0</v>
      </c>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row>
    <row r="106" spans="1:42" ht="18" customHeight="1" outlineLevel="1">
      <c r="A106" s="60" t="s">
        <v>160</v>
      </c>
      <c r="B106" s="627"/>
      <c r="C106" s="379">
        <v>46080</v>
      </c>
      <c r="D106" s="379" t="s">
        <v>35</v>
      </c>
      <c r="E106" s="380" t="s">
        <v>504</v>
      </c>
      <c r="F106" s="380" t="s">
        <v>209</v>
      </c>
      <c r="G106" s="380" t="s">
        <v>222</v>
      </c>
      <c r="H106" s="381">
        <v>2.77</v>
      </c>
      <c r="I106" s="380" t="s">
        <v>517</v>
      </c>
      <c r="J106" s="355"/>
      <c r="K106" s="355"/>
      <c r="L106" s="355"/>
      <c r="N106" s="346">
        <f t="shared" si="7"/>
        <v>2.77</v>
      </c>
      <c r="O106" s="346">
        <f t="shared" si="8"/>
        <v>0</v>
      </c>
      <c r="P106" s="346">
        <f t="shared" si="9"/>
        <v>0</v>
      </c>
      <c r="Q106" s="346">
        <f t="shared" si="10"/>
        <v>0</v>
      </c>
      <c r="R106" s="347">
        <f t="shared" si="11"/>
        <v>0</v>
      </c>
      <c r="S106" s="347">
        <f t="shared" si="12"/>
        <v>0</v>
      </c>
      <c r="T106" s="347">
        <f t="shared" si="13"/>
        <v>0</v>
      </c>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row>
    <row r="107" spans="1:42" ht="18" customHeight="1" outlineLevel="1">
      <c r="A107" s="60" t="s">
        <v>160</v>
      </c>
      <c r="B107" s="627"/>
      <c r="C107" s="379">
        <v>46080</v>
      </c>
      <c r="D107" s="379" t="s">
        <v>100</v>
      </c>
      <c r="E107" s="380" t="s">
        <v>503</v>
      </c>
      <c r="F107" s="380" t="s">
        <v>209</v>
      </c>
      <c r="G107" s="380" t="s">
        <v>210</v>
      </c>
      <c r="H107" s="381">
        <v>150</v>
      </c>
      <c r="I107" s="380" t="s">
        <v>34</v>
      </c>
      <c r="J107" s="355"/>
      <c r="K107" s="355"/>
      <c r="L107" s="355"/>
      <c r="N107" s="346">
        <f t="shared" si="7"/>
        <v>150</v>
      </c>
      <c r="O107" s="346">
        <f t="shared" si="8"/>
        <v>0</v>
      </c>
      <c r="P107" s="346">
        <f t="shared" si="9"/>
        <v>0</v>
      </c>
      <c r="Q107" s="346">
        <f t="shared" si="10"/>
        <v>0</v>
      </c>
      <c r="R107" s="347">
        <f t="shared" si="11"/>
        <v>0</v>
      </c>
      <c r="S107" s="347">
        <f t="shared" si="12"/>
        <v>0</v>
      </c>
      <c r="T107" s="347">
        <f t="shared" si="13"/>
        <v>0</v>
      </c>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row>
    <row r="108" spans="1:42" ht="18" customHeight="1" outlineLevel="1">
      <c r="A108" s="60" t="s">
        <v>160</v>
      </c>
      <c r="B108" s="627"/>
      <c r="C108" s="379">
        <v>46080</v>
      </c>
      <c r="D108" s="379" t="s">
        <v>202</v>
      </c>
      <c r="E108" s="380" t="s">
        <v>211</v>
      </c>
      <c r="F108" s="380" t="s">
        <v>209</v>
      </c>
      <c r="G108" s="380" t="s">
        <v>211</v>
      </c>
      <c r="H108" s="381">
        <v>200</v>
      </c>
      <c r="I108" s="380" t="s">
        <v>216</v>
      </c>
      <c r="J108" s="355"/>
      <c r="K108" s="355"/>
      <c r="L108" s="355"/>
      <c r="N108" s="346">
        <f t="shared" si="7"/>
        <v>0</v>
      </c>
      <c r="O108" s="346">
        <f t="shared" si="8"/>
        <v>0</v>
      </c>
      <c r="P108" s="346">
        <f t="shared" si="9"/>
        <v>0</v>
      </c>
      <c r="Q108" s="346">
        <f t="shared" si="10"/>
        <v>0</v>
      </c>
      <c r="R108" s="347">
        <f t="shared" si="11"/>
        <v>0</v>
      </c>
      <c r="S108" s="347">
        <f t="shared" si="12"/>
        <v>200</v>
      </c>
      <c r="T108" s="347">
        <f t="shared" si="13"/>
        <v>0</v>
      </c>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row>
    <row r="109" spans="1:42" ht="18" customHeight="1" outlineLevel="1">
      <c r="A109" s="60" t="s">
        <v>160</v>
      </c>
      <c r="B109" s="627"/>
      <c r="C109" s="379">
        <v>46083</v>
      </c>
      <c r="D109" s="379" t="s">
        <v>52</v>
      </c>
      <c r="E109" s="380" t="s">
        <v>503</v>
      </c>
      <c r="F109" s="380" t="s">
        <v>209</v>
      </c>
      <c r="G109" s="380" t="s">
        <v>222</v>
      </c>
      <c r="H109" s="381">
        <v>14.99</v>
      </c>
      <c r="I109" s="380" t="s">
        <v>44</v>
      </c>
      <c r="J109" s="355"/>
      <c r="K109" s="355"/>
      <c r="L109" s="355"/>
      <c r="N109" s="346">
        <f t="shared" si="7"/>
        <v>14.99</v>
      </c>
      <c r="O109" s="346">
        <f t="shared" si="8"/>
        <v>0</v>
      </c>
      <c r="P109" s="346">
        <f t="shared" si="9"/>
        <v>0</v>
      </c>
      <c r="Q109" s="346">
        <f t="shared" si="10"/>
        <v>0</v>
      </c>
      <c r="R109" s="347">
        <f t="shared" si="11"/>
        <v>0</v>
      </c>
      <c r="S109" s="347">
        <f t="shared" si="12"/>
        <v>0</v>
      </c>
      <c r="T109" s="347">
        <f t="shared" si="13"/>
        <v>0</v>
      </c>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row>
    <row r="110" spans="1:42" ht="18" customHeight="1" outlineLevel="1">
      <c r="A110" s="60" t="s">
        <v>160</v>
      </c>
      <c r="B110" s="627"/>
      <c r="C110" s="379">
        <v>46083</v>
      </c>
      <c r="D110" s="379" t="s">
        <v>178</v>
      </c>
      <c r="E110" s="380" t="s">
        <v>504</v>
      </c>
      <c r="F110" s="380" t="s">
        <v>209</v>
      </c>
      <c r="G110" s="380" t="s">
        <v>222</v>
      </c>
      <c r="H110" s="381">
        <v>28.2</v>
      </c>
      <c r="I110" s="380" t="s">
        <v>517</v>
      </c>
      <c r="J110" s="355"/>
      <c r="K110" s="355"/>
      <c r="L110" s="355"/>
      <c r="N110" s="346">
        <f t="shared" si="7"/>
        <v>28.2</v>
      </c>
      <c r="O110" s="346">
        <f t="shared" si="8"/>
        <v>0</v>
      </c>
      <c r="P110" s="346">
        <f t="shared" si="9"/>
        <v>0</v>
      </c>
      <c r="Q110" s="346">
        <f t="shared" si="10"/>
        <v>0</v>
      </c>
      <c r="R110" s="347">
        <f t="shared" si="11"/>
        <v>0</v>
      </c>
      <c r="S110" s="347">
        <f t="shared" si="12"/>
        <v>0</v>
      </c>
      <c r="T110" s="347">
        <f t="shared" si="13"/>
        <v>0</v>
      </c>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row>
    <row r="111" spans="1:42" ht="18" customHeight="1" outlineLevel="1">
      <c r="A111" s="60" t="s">
        <v>160</v>
      </c>
      <c r="B111" s="627"/>
      <c r="C111" s="379">
        <v>46083</v>
      </c>
      <c r="D111" s="379" t="s">
        <v>179</v>
      </c>
      <c r="E111" s="380" t="s">
        <v>504</v>
      </c>
      <c r="F111" s="380" t="s">
        <v>209</v>
      </c>
      <c r="G111" s="380" t="s">
        <v>222</v>
      </c>
      <c r="H111" s="381">
        <v>12.15</v>
      </c>
      <c r="I111" s="380" t="s">
        <v>517</v>
      </c>
      <c r="J111" s="355"/>
      <c r="K111" s="355"/>
      <c r="L111" s="355"/>
      <c r="N111" s="346">
        <f t="shared" si="7"/>
        <v>12.15</v>
      </c>
      <c r="O111" s="346">
        <f t="shared" si="8"/>
        <v>0</v>
      </c>
      <c r="P111" s="346">
        <f t="shared" si="9"/>
        <v>0</v>
      </c>
      <c r="Q111" s="346">
        <f t="shared" si="10"/>
        <v>0</v>
      </c>
      <c r="R111" s="347">
        <f t="shared" si="11"/>
        <v>0</v>
      </c>
      <c r="S111" s="347">
        <f t="shared" si="12"/>
        <v>0</v>
      </c>
      <c r="T111" s="347">
        <f t="shared" si="13"/>
        <v>0</v>
      </c>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row>
    <row r="112" spans="1:42" ht="18" customHeight="1" outlineLevel="1">
      <c r="A112" s="60" t="s">
        <v>160</v>
      </c>
      <c r="B112" s="627"/>
      <c r="C112" s="379">
        <v>46083</v>
      </c>
      <c r="D112" s="379" t="s">
        <v>180</v>
      </c>
      <c r="E112" s="380" t="s">
        <v>504</v>
      </c>
      <c r="F112" s="380" t="s">
        <v>209</v>
      </c>
      <c r="G112" s="380" t="s">
        <v>222</v>
      </c>
      <c r="H112" s="381">
        <v>41.75</v>
      </c>
      <c r="I112" s="380" t="s">
        <v>517</v>
      </c>
      <c r="J112" s="355"/>
      <c r="K112" s="355"/>
      <c r="L112" s="355"/>
      <c r="N112" s="346">
        <f t="shared" si="7"/>
        <v>41.75</v>
      </c>
      <c r="O112" s="346">
        <f t="shared" si="8"/>
        <v>0</v>
      </c>
      <c r="P112" s="346">
        <f t="shared" si="9"/>
        <v>0</v>
      </c>
      <c r="Q112" s="346">
        <f t="shared" si="10"/>
        <v>0</v>
      </c>
      <c r="R112" s="347">
        <f t="shared" si="11"/>
        <v>0</v>
      </c>
      <c r="S112" s="347">
        <f t="shared" si="12"/>
        <v>0</v>
      </c>
      <c r="T112" s="347">
        <f t="shared" si="13"/>
        <v>0</v>
      </c>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row>
    <row r="113" spans="1:42" ht="18" customHeight="1">
      <c r="A113" s="60" t="s">
        <v>160</v>
      </c>
      <c r="B113" s="433"/>
      <c r="C113" s="499"/>
      <c r="D113" s="499"/>
      <c r="E113" s="499"/>
      <c r="F113" s="499"/>
      <c r="G113" s="499"/>
      <c r="H113" s="499"/>
      <c r="I113" s="499"/>
      <c r="N113" s="346">
        <f t="shared" si="7"/>
        <v>0</v>
      </c>
      <c r="O113" s="346">
        <f t="shared" si="8"/>
        <v>0</v>
      </c>
      <c r="P113" s="346">
        <f t="shared" si="9"/>
        <v>0</v>
      </c>
      <c r="Q113" s="346">
        <f t="shared" si="10"/>
        <v>0</v>
      </c>
      <c r="R113" s="347">
        <f t="shared" si="11"/>
        <v>0</v>
      </c>
      <c r="S113" s="347">
        <f t="shared" si="12"/>
        <v>0</v>
      </c>
      <c r="T113" s="347">
        <f t="shared" si="13"/>
        <v>0</v>
      </c>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row>
    <row r="114" spans="1:42" ht="18" customHeight="1">
      <c r="A114" s="60" t="s">
        <v>160</v>
      </c>
      <c r="B114" s="633" t="s">
        <v>254</v>
      </c>
      <c r="C114" s="612"/>
      <c r="D114" s="612"/>
      <c r="E114" s="612"/>
      <c r="F114" s="612"/>
      <c r="G114" s="613"/>
      <c r="H114" s="395">
        <f>SUMIF(E96:E112,"Income",H96:H112)</f>
        <v>0</v>
      </c>
      <c r="I114" s="434"/>
      <c r="J114" s="358"/>
      <c r="K114" s="358"/>
      <c r="L114" s="358"/>
      <c r="N114" s="346">
        <f t="shared" si="7"/>
        <v>0</v>
      </c>
      <c r="O114" s="346">
        <f t="shared" si="8"/>
        <v>0</v>
      </c>
      <c r="P114" s="346">
        <f t="shared" si="9"/>
        <v>0</v>
      </c>
      <c r="Q114" s="346">
        <f t="shared" si="10"/>
        <v>0</v>
      </c>
      <c r="R114" s="347">
        <f t="shared" si="11"/>
        <v>0</v>
      </c>
      <c r="S114" s="347">
        <f t="shared" si="12"/>
        <v>0</v>
      </c>
      <c r="T114" s="347">
        <f t="shared" si="13"/>
        <v>0</v>
      </c>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row>
    <row r="115" spans="1:42" ht="18" customHeight="1">
      <c r="A115" s="60" t="s">
        <v>160</v>
      </c>
      <c r="B115" s="435"/>
      <c r="C115" s="442"/>
      <c r="D115" s="442"/>
      <c r="E115" s="442"/>
      <c r="F115" s="615" t="s">
        <v>354</v>
      </c>
      <c r="G115" s="613"/>
      <c r="H115" s="399">
        <f>SUMIF(E96:E112,"Joint Account",H96:H112)</f>
        <v>200</v>
      </c>
      <c r="I115" s="437"/>
      <c r="J115" s="358"/>
      <c r="K115" s="358"/>
      <c r="L115" s="358"/>
      <c r="N115" s="346">
        <f t="shared" si="7"/>
        <v>0</v>
      </c>
      <c r="O115" s="346">
        <f t="shared" si="8"/>
        <v>0</v>
      </c>
      <c r="P115" s="346">
        <f t="shared" si="9"/>
        <v>0</v>
      </c>
      <c r="Q115" s="346">
        <f t="shared" si="10"/>
        <v>0</v>
      </c>
      <c r="R115" s="347">
        <f t="shared" si="11"/>
        <v>0</v>
      </c>
      <c r="S115" s="347">
        <f t="shared" si="12"/>
        <v>0</v>
      </c>
      <c r="T115" s="347">
        <f t="shared" si="13"/>
        <v>0</v>
      </c>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row>
    <row r="116" spans="1:42" ht="18" customHeight="1">
      <c r="A116" s="60" t="s">
        <v>160</v>
      </c>
      <c r="B116" s="616" t="s">
        <v>226</v>
      </c>
      <c r="C116" s="612"/>
      <c r="D116" s="612"/>
      <c r="E116" s="612"/>
      <c r="F116" s="612"/>
      <c r="G116" s="613"/>
      <c r="H116" s="404">
        <f>SUMIF(E96:E112,"Recurring Expense",H96:H112)</f>
        <v>164.99</v>
      </c>
      <c r="I116" s="431"/>
      <c r="J116" s="357"/>
      <c r="K116" s="357"/>
      <c r="L116" s="357"/>
      <c r="N116" s="346">
        <f t="shared" si="7"/>
        <v>0</v>
      </c>
      <c r="O116" s="346">
        <f t="shared" si="8"/>
        <v>0</v>
      </c>
      <c r="P116" s="346">
        <f t="shared" si="9"/>
        <v>0</v>
      </c>
      <c r="Q116" s="346">
        <f t="shared" si="10"/>
        <v>0</v>
      </c>
      <c r="R116" s="347">
        <f t="shared" si="11"/>
        <v>0</v>
      </c>
      <c r="S116" s="347">
        <f t="shared" si="12"/>
        <v>0</v>
      </c>
      <c r="T116" s="347">
        <f t="shared" si="13"/>
        <v>0</v>
      </c>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row>
    <row r="117" spans="1:42" ht="18" customHeight="1">
      <c r="A117" t="s">
        <v>160</v>
      </c>
      <c r="B117" s="616" t="s">
        <v>227</v>
      </c>
      <c r="C117" s="612"/>
      <c r="D117" s="612"/>
      <c r="E117" s="612"/>
      <c r="F117" s="612"/>
      <c r="G117" s="613"/>
      <c r="H117" s="404">
        <f>SUMIF(E96:E112,"Investment",H96:H112)</f>
        <v>0</v>
      </c>
      <c r="I117" s="431"/>
      <c r="J117" s="357"/>
      <c r="K117" s="357"/>
      <c r="L117" s="357"/>
      <c r="N117" s="346">
        <f t="shared" si="7"/>
        <v>0</v>
      </c>
      <c r="O117" s="346">
        <f t="shared" si="8"/>
        <v>0</v>
      </c>
      <c r="P117" s="346">
        <f t="shared" si="9"/>
        <v>0</v>
      </c>
      <c r="Q117" s="346">
        <f t="shared" si="10"/>
        <v>0</v>
      </c>
      <c r="R117" s="346">
        <f t="shared" si="11"/>
        <v>0</v>
      </c>
      <c r="S117" s="346">
        <f t="shared" si="12"/>
        <v>0</v>
      </c>
      <c r="T117" s="346">
        <f t="shared" si="13"/>
        <v>0</v>
      </c>
    </row>
    <row r="118" spans="1:42" ht="18" customHeight="1">
      <c r="A118" t="s">
        <v>160</v>
      </c>
      <c r="B118" s="401"/>
      <c r="C118" s="402"/>
      <c r="D118" s="402"/>
      <c r="E118" s="402"/>
      <c r="F118" s="402"/>
      <c r="G118" s="403" t="s">
        <v>250</v>
      </c>
      <c r="H118" s="404">
        <f>SUMIF(E96:E112,"Saving Allocation",H96:H112)</f>
        <v>0</v>
      </c>
      <c r="I118" s="431"/>
      <c r="J118" s="357"/>
      <c r="K118" s="357"/>
      <c r="L118" s="357"/>
      <c r="N118" s="346">
        <f t="shared" si="7"/>
        <v>0</v>
      </c>
      <c r="O118" s="346">
        <f t="shared" si="8"/>
        <v>0</v>
      </c>
      <c r="P118" s="346">
        <f t="shared" si="9"/>
        <v>0</v>
      </c>
      <c r="Q118" s="346">
        <f t="shared" si="10"/>
        <v>0</v>
      </c>
      <c r="R118" s="346">
        <f t="shared" si="11"/>
        <v>0</v>
      </c>
      <c r="S118" s="346">
        <f t="shared" si="12"/>
        <v>0</v>
      </c>
      <c r="T118" s="346">
        <f t="shared" si="13"/>
        <v>0</v>
      </c>
    </row>
    <row r="119" spans="1:42" ht="18" customHeight="1">
      <c r="A119" t="s">
        <v>160</v>
      </c>
      <c r="B119" s="616" t="s">
        <v>251</v>
      </c>
      <c r="C119" s="612"/>
      <c r="D119" s="612"/>
      <c r="E119" s="612"/>
      <c r="F119" s="612"/>
      <c r="G119" s="613"/>
      <c r="H119" s="404">
        <f>SUMIF(E96:E112,"Personal Expense",H96:H112)</f>
        <v>244.45000000000002</v>
      </c>
      <c r="I119" s="431"/>
      <c r="J119" s="357"/>
      <c r="K119" s="357"/>
      <c r="L119" s="357"/>
      <c r="N119" s="346">
        <f t="shared" si="7"/>
        <v>0</v>
      </c>
      <c r="O119" s="346">
        <f t="shared" si="8"/>
        <v>0</v>
      </c>
      <c r="P119" s="346">
        <f t="shared" si="9"/>
        <v>0</v>
      </c>
      <c r="Q119" s="346">
        <f t="shared" si="10"/>
        <v>0</v>
      </c>
      <c r="R119" s="346">
        <f t="shared" si="11"/>
        <v>0</v>
      </c>
      <c r="S119" s="346">
        <f t="shared" si="12"/>
        <v>0</v>
      </c>
      <c r="T119" s="346">
        <f t="shared" si="13"/>
        <v>0</v>
      </c>
    </row>
    <row r="120" spans="1:42" ht="18" customHeight="1">
      <c r="A120" t="s">
        <v>160</v>
      </c>
      <c r="B120" s="401"/>
      <c r="C120" s="402"/>
      <c r="D120" s="402"/>
      <c r="E120" s="402"/>
      <c r="F120" s="402"/>
      <c r="G120" s="438" t="s">
        <v>495</v>
      </c>
      <c r="H120" s="404">
        <f>SUMIF(E96:E112,"Debt Repayment",H96:H112)</f>
        <v>0</v>
      </c>
      <c r="I120" s="431"/>
      <c r="J120" s="357"/>
      <c r="K120" s="357"/>
      <c r="L120" s="357"/>
      <c r="N120" s="346">
        <f t="shared" si="7"/>
        <v>0</v>
      </c>
      <c r="O120" s="346">
        <f t="shared" si="8"/>
        <v>0</v>
      </c>
      <c r="P120" s="346">
        <f t="shared" si="9"/>
        <v>0</v>
      </c>
      <c r="Q120" s="346">
        <f t="shared" si="10"/>
        <v>0</v>
      </c>
      <c r="R120" s="346">
        <f t="shared" si="11"/>
        <v>0</v>
      </c>
      <c r="S120" s="346">
        <f t="shared" si="12"/>
        <v>0</v>
      </c>
      <c r="T120" s="346">
        <f t="shared" si="13"/>
        <v>0</v>
      </c>
    </row>
    <row r="121" spans="1:42" ht="18" customHeight="1">
      <c r="A121" t="s">
        <v>160</v>
      </c>
      <c r="B121" s="415"/>
      <c r="C121" s="416"/>
      <c r="D121" s="416"/>
      <c r="E121" s="416"/>
      <c r="F121" s="416"/>
      <c r="G121" s="416" t="s">
        <v>253</v>
      </c>
      <c r="H121" s="413">
        <f>H116+H119+H115+H117+H120</f>
        <v>609.44000000000005</v>
      </c>
      <c r="I121" s="414"/>
      <c r="J121" s="60"/>
      <c r="K121" s="60"/>
      <c r="L121" s="60"/>
      <c r="N121" s="346">
        <f t="shared" si="7"/>
        <v>0</v>
      </c>
      <c r="O121" s="346">
        <f t="shared" si="8"/>
        <v>0</v>
      </c>
      <c r="P121" s="346">
        <f t="shared" si="9"/>
        <v>0</v>
      </c>
      <c r="Q121" s="346">
        <f t="shared" si="10"/>
        <v>0</v>
      </c>
      <c r="R121" s="346">
        <f t="shared" si="11"/>
        <v>0</v>
      </c>
      <c r="S121" s="346">
        <f t="shared" si="12"/>
        <v>0</v>
      </c>
      <c r="T121" s="346">
        <f t="shared" si="13"/>
        <v>0</v>
      </c>
    </row>
    <row r="122" spans="1:42" ht="18" customHeight="1">
      <c r="A122" t="s">
        <v>160</v>
      </c>
      <c r="B122" s="577"/>
      <c r="C122" s="579"/>
      <c r="D122" s="579"/>
      <c r="E122" s="579"/>
      <c r="F122" s="579"/>
      <c r="G122" s="579" t="s">
        <v>497</v>
      </c>
      <c r="H122" s="578">
        <f>H114-(H116+H119)-H115-H117-H120</f>
        <v>-609.44000000000005</v>
      </c>
      <c r="I122" s="414"/>
      <c r="J122" s="60"/>
      <c r="K122" s="60"/>
      <c r="L122" s="60"/>
      <c r="N122" s="346">
        <f t="shared" si="7"/>
        <v>0</v>
      </c>
      <c r="O122" s="346">
        <f t="shared" si="8"/>
        <v>0</v>
      </c>
      <c r="P122" s="346">
        <f t="shared" si="9"/>
        <v>0</v>
      </c>
      <c r="Q122" s="346">
        <f t="shared" si="10"/>
        <v>0</v>
      </c>
      <c r="R122" s="346">
        <f t="shared" si="11"/>
        <v>0</v>
      </c>
      <c r="S122" s="346">
        <f t="shared" si="12"/>
        <v>0</v>
      </c>
      <c r="T122" s="346">
        <f t="shared" si="13"/>
        <v>0</v>
      </c>
    </row>
    <row r="123" spans="1:42" ht="18" customHeight="1">
      <c r="B123" s="415"/>
      <c r="C123" s="416"/>
      <c r="D123" s="416"/>
      <c r="E123" s="416"/>
      <c r="F123" s="416"/>
      <c r="G123" s="416" t="s">
        <v>554</v>
      </c>
      <c r="H123" s="439">
        <f>H122+SUMIFS($H:$H,$A:$A,A122,$E:$E,"Saving Allocation")</f>
        <v>-609.44000000000005</v>
      </c>
      <c r="I123" s="418"/>
      <c r="J123" s="60"/>
      <c r="K123" s="60"/>
      <c r="L123" s="60"/>
      <c r="N123" s="346"/>
      <c r="O123" s="346"/>
      <c r="P123" s="346"/>
      <c r="Q123" s="346"/>
      <c r="R123" s="346"/>
      <c r="S123" s="346"/>
      <c r="T123" s="346"/>
    </row>
    <row r="124" spans="1:42" ht="18" customHeight="1">
      <c r="A124" t="s">
        <v>160</v>
      </c>
      <c r="B124" s="498"/>
      <c r="C124" s="425"/>
      <c r="D124" s="425"/>
      <c r="E124" s="425"/>
      <c r="F124" s="425"/>
      <c r="G124" s="425"/>
      <c r="H124" s="419"/>
      <c r="I124" s="420"/>
      <c r="J124" s="60"/>
      <c r="K124" s="60"/>
      <c r="L124" s="60"/>
      <c r="N124" s="346">
        <f t="shared" si="7"/>
        <v>0</v>
      </c>
      <c r="O124" s="346">
        <f t="shared" si="8"/>
        <v>0</v>
      </c>
      <c r="P124" s="346">
        <f t="shared" si="9"/>
        <v>0</v>
      </c>
      <c r="Q124" s="346">
        <f t="shared" si="10"/>
        <v>0</v>
      </c>
      <c r="R124" s="346">
        <f t="shared" si="11"/>
        <v>0</v>
      </c>
      <c r="S124" s="346">
        <f t="shared" si="12"/>
        <v>0</v>
      </c>
      <c r="T124" s="346">
        <f t="shared" si="13"/>
        <v>0</v>
      </c>
    </row>
    <row r="125" spans="1:42" ht="18" customHeight="1" outlineLevel="1">
      <c r="A125" t="s">
        <v>187</v>
      </c>
      <c r="B125" s="623" t="s">
        <v>187</v>
      </c>
      <c r="C125" s="443">
        <v>46084</v>
      </c>
      <c r="D125" s="440" t="s">
        <v>204</v>
      </c>
      <c r="E125" s="440" t="s">
        <v>207</v>
      </c>
      <c r="F125" s="440" t="s">
        <v>208</v>
      </c>
      <c r="G125" s="440" t="s">
        <v>209</v>
      </c>
      <c r="H125" s="378">
        <v>761.42</v>
      </c>
      <c r="I125" s="440" t="s">
        <v>215</v>
      </c>
      <c r="J125" s="359"/>
      <c r="K125" s="359"/>
      <c r="L125" s="359"/>
      <c r="N125" s="346">
        <f t="shared" si="7"/>
        <v>0</v>
      </c>
      <c r="O125" s="346">
        <f t="shared" si="8"/>
        <v>0</v>
      </c>
      <c r="P125" s="346">
        <f t="shared" si="9"/>
        <v>0</v>
      </c>
      <c r="Q125" s="346">
        <f t="shared" si="10"/>
        <v>0</v>
      </c>
      <c r="R125" s="346">
        <f t="shared" si="11"/>
        <v>0</v>
      </c>
      <c r="S125" s="346">
        <f t="shared" si="12"/>
        <v>0</v>
      </c>
      <c r="T125" s="346">
        <f t="shared" si="13"/>
        <v>761.42</v>
      </c>
    </row>
    <row r="126" spans="1:42" ht="18" customHeight="1" outlineLevel="1">
      <c r="A126" t="s">
        <v>187</v>
      </c>
      <c r="B126" s="627"/>
      <c r="C126" s="379">
        <v>46085</v>
      </c>
      <c r="D126" s="380" t="s">
        <v>100</v>
      </c>
      <c r="E126" s="380" t="s">
        <v>503</v>
      </c>
      <c r="F126" s="380" t="s">
        <v>209</v>
      </c>
      <c r="G126" s="380" t="s">
        <v>210</v>
      </c>
      <c r="H126" s="512">
        <v>150</v>
      </c>
      <c r="I126" s="380" t="s">
        <v>34</v>
      </c>
      <c r="J126" s="355"/>
      <c r="K126" s="355"/>
      <c r="L126" s="355"/>
      <c r="N126" s="346">
        <f t="shared" si="7"/>
        <v>150</v>
      </c>
      <c r="O126" s="346">
        <f t="shared" si="8"/>
        <v>0</v>
      </c>
      <c r="P126" s="346">
        <f t="shared" si="9"/>
        <v>0</v>
      </c>
      <c r="Q126" s="346">
        <f t="shared" si="10"/>
        <v>0</v>
      </c>
      <c r="R126" s="346">
        <f t="shared" si="11"/>
        <v>0</v>
      </c>
      <c r="S126" s="346">
        <f t="shared" si="12"/>
        <v>0</v>
      </c>
      <c r="T126" s="346">
        <f t="shared" si="13"/>
        <v>0</v>
      </c>
    </row>
    <row r="127" spans="1:42" ht="18" customHeight="1" outlineLevel="1">
      <c r="A127" t="s">
        <v>187</v>
      </c>
      <c r="B127" s="627"/>
      <c r="C127" s="379">
        <v>46085</v>
      </c>
      <c r="D127" s="380" t="s">
        <v>101</v>
      </c>
      <c r="E127" s="380" t="s">
        <v>211</v>
      </c>
      <c r="F127" s="380" t="s">
        <v>209</v>
      </c>
      <c r="G127" s="380" t="s">
        <v>211</v>
      </c>
      <c r="H127" s="512">
        <v>200</v>
      </c>
      <c r="I127" s="380" t="s">
        <v>216</v>
      </c>
      <c r="J127" s="355"/>
      <c r="K127" s="355"/>
      <c r="L127" s="355"/>
      <c r="N127" s="346">
        <f t="shared" si="7"/>
        <v>0</v>
      </c>
      <c r="O127" s="346">
        <f t="shared" si="8"/>
        <v>0</v>
      </c>
      <c r="P127" s="346">
        <f t="shared" si="9"/>
        <v>0</v>
      </c>
      <c r="Q127" s="346">
        <f t="shared" si="10"/>
        <v>0</v>
      </c>
      <c r="R127" s="346">
        <f t="shared" si="11"/>
        <v>0</v>
      </c>
      <c r="S127" s="346">
        <f t="shared" si="12"/>
        <v>200</v>
      </c>
      <c r="T127" s="346">
        <f t="shared" si="13"/>
        <v>0</v>
      </c>
    </row>
    <row r="128" spans="1:42" ht="18" customHeight="1" outlineLevel="1">
      <c r="A128" t="s">
        <v>187</v>
      </c>
      <c r="B128" s="627"/>
      <c r="C128" s="426">
        <v>46085</v>
      </c>
      <c r="D128" s="380" t="s">
        <v>99</v>
      </c>
      <c r="E128" s="380" t="s">
        <v>205</v>
      </c>
      <c r="F128" s="380" t="s">
        <v>209</v>
      </c>
      <c r="G128" s="380" t="s">
        <v>210</v>
      </c>
      <c r="H128" s="512">
        <v>375</v>
      </c>
      <c r="I128" s="380" t="s">
        <v>217</v>
      </c>
      <c r="J128" s="355"/>
      <c r="K128" s="355"/>
      <c r="L128" s="355"/>
      <c r="N128" s="346">
        <f t="shared" si="7"/>
        <v>0</v>
      </c>
      <c r="O128" s="346">
        <f t="shared" si="8"/>
        <v>0</v>
      </c>
      <c r="P128" s="346">
        <f t="shared" si="9"/>
        <v>0</v>
      </c>
      <c r="Q128" s="346">
        <f t="shared" si="10"/>
        <v>0</v>
      </c>
      <c r="R128" s="346">
        <f t="shared" si="11"/>
        <v>375</v>
      </c>
      <c r="S128" s="346">
        <f t="shared" si="12"/>
        <v>0</v>
      </c>
      <c r="T128" s="346">
        <f t="shared" si="13"/>
        <v>0</v>
      </c>
    </row>
    <row r="129" spans="1:20" ht="18" customHeight="1" outlineLevel="1">
      <c r="A129" t="s">
        <v>187</v>
      </c>
      <c r="B129" s="627"/>
      <c r="C129" s="426">
        <v>46085</v>
      </c>
      <c r="D129" s="380" t="s">
        <v>181</v>
      </c>
      <c r="E129" s="380" t="s">
        <v>504</v>
      </c>
      <c r="F129" s="380" t="s">
        <v>209</v>
      </c>
      <c r="G129" s="380" t="s">
        <v>222</v>
      </c>
      <c r="H129" s="512">
        <v>14.1</v>
      </c>
      <c r="I129" s="380" t="s">
        <v>517</v>
      </c>
      <c r="J129" s="355"/>
      <c r="K129" s="355"/>
      <c r="L129" s="355"/>
      <c r="N129" s="346">
        <f t="shared" si="7"/>
        <v>14.1</v>
      </c>
      <c r="O129" s="346">
        <f t="shared" si="8"/>
        <v>0</v>
      </c>
      <c r="P129" s="346">
        <f t="shared" si="9"/>
        <v>0</v>
      </c>
      <c r="Q129" s="346">
        <f t="shared" si="10"/>
        <v>0</v>
      </c>
      <c r="R129" s="346">
        <f t="shared" si="11"/>
        <v>0</v>
      </c>
      <c r="S129" s="346">
        <f t="shared" si="12"/>
        <v>0</v>
      </c>
      <c r="T129" s="346">
        <f t="shared" si="13"/>
        <v>0</v>
      </c>
    </row>
    <row r="130" spans="1:20" ht="18" customHeight="1" outlineLevel="1">
      <c r="A130" t="s">
        <v>187</v>
      </c>
      <c r="B130" s="627"/>
      <c r="C130" s="426">
        <v>46086</v>
      </c>
      <c r="D130" s="380" t="s">
        <v>180</v>
      </c>
      <c r="E130" s="380" t="s">
        <v>504</v>
      </c>
      <c r="F130" s="380" t="s">
        <v>209</v>
      </c>
      <c r="G130" s="380" t="s">
        <v>222</v>
      </c>
      <c r="H130" s="512">
        <v>29.89</v>
      </c>
      <c r="I130" s="380" t="s">
        <v>517</v>
      </c>
      <c r="J130" s="355"/>
      <c r="K130" s="355"/>
      <c r="L130" s="355"/>
      <c r="N130" s="346">
        <f t="shared" si="7"/>
        <v>29.89</v>
      </c>
      <c r="O130" s="346">
        <f t="shared" si="8"/>
        <v>0</v>
      </c>
      <c r="P130" s="346">
        <f t="shared" si="9"/>
        <v>0</v>
      </c>
      <c r="Q130" s="346">
        <f t="shared" si="10"/>
        <v>0</v>
      </c>
      <c r="R130" s="346">
        <f t="shared" si="11"/>
        <v>0</v>
      </c>
      <c r="S130" s="346">
        <f t="shared" si="12"/>
        <v>0</v>
      </c>
      <c r="T130" s="346">
        <f t="shared" si="13"/>
        <v>0</v>
      </c>
    </row>
    <row r="131" spans="1:20" ht="18" customHeight="1" outlineLevel="1">
      <c r="A131" t="s">
        <v>187</v>
      </c>
      <c r="B131" s="627"/>
      <c r="C131" s="426">
        <v>46090</v>
      </c>
      <c r="D131" s="380" t="s">
        <v>182</v>
      </c>
      <c r="E131" s="380" t="s">
        <v>503</v>
      </c>
      <c r="F131" s="380" t="s">
        <v>209</v>
      </c>
      <c r="G131" s="380" t="s">
        <v>222</v>
      </c>
      <c r="H131" s="512">
        <v>16</v>
      </c>
      <c r="I131" s="380" t="s">
        <v>44</v>
      </c>
      <c r="J131" s="355"/>
      <c r="K131" s="355"/>
      <c r="L131" s="355"/>
      <c r="N131" s="346">
        <f t="shared" si="7"/>
        <v>16</v>
      </c>
      <c r="O131" s="346">
        <f t="shared" si="8"/>
        <v>0</v>
      </c>
      <c r="P131" s="346">
        <f t="shared" si="9"/>
        <v>0</v>
      </c>
      <c r="Q131" s="346">
        <f t="shared" si="10"/>
        <v>0</v>
      </c>
      <c r="R131" s="346">
        <f t="shared" si="11"/>
        <v>0</v>
      </c>
      <c r="S131" s="346">
        <f t="shared" si="12"/>
        <v>0</v>
      </c>
      <c r="T131" s="346">
        <f t="shared" si="13"/>
        <v>0</v>
      </c>
    </row>
    <row r="132" spans="1:20" ht="18" customHeight="1" outlineLevel="1">
      <c r="A132" t="s">
        <v>187</v>
      </c>
      <c r="B132" s="627"/>
      <c r="C132" s="426">
        <v>46090</v>
      </c>
      <c r="D132" s="380" t="s">
        <v>183</v>
      </c>
      <c r="E132" s="380" t="s">
        <v>503</v>
      </c>
      <c r="F132" s="380" t="s">
        <v>209</v>
      </c>
      <c r="G132" s="380" t="s">
        <v>222</v>
      </c>
      <c r="H132" s="512">
        <v>29.99</v>
      </c>
      <c r="I132" s="380" t="s">
        <v>44</v>
      </c>
      <c r="J132" s="355"/>
      <c r="K132" s="355"/>
      <c r="L132" s="355"/>
      <c r="N132" s="346">
        <f t="shared" si="7"/>
        <v>29.99</v>
      </c>
      <c r="O132" s="346">
        <f t="shared" si="8"/>
        <v>0</v>
      </c>
      <c r="P132" s="346">
        <f t="shared" si="9"/>
        <v>0</v>
      </c>
      <c r="Q132" s="346">
        <f t="shared" si="10"/>
        <v>0</v>
      </c>
      <c r="R132" s="346">
        <f t="shared" si="11"/>
        <v>0</v>
      </c>
      <c r="S132" s="346">
        <f t="shared" si="12"/>
        <v>0</v>
      </c>
      <c r="T132" s="346">
        <f t="shared" si="13"/>
        <v>0</v>
      </c>
    </row>
    <row r="133" spans="1:20" ht="18" customHeight="1" outlineLevel="1">
      <c r="A133" t="s">
        <v>187</v>
      </c>
      <c r="B133" s="627"/>
      <c r="C133" s="426">
        <v>46090</v>
      </c>
      <c r="D133" s="380" t="s">
        <v>179</v>
      </c>
      <c r="E133" s="380" t="s">
        <v>504</v>
      </c>
      <c r="F133" s="380" t="s">
        <v>209</v>
      </c>
      <c r="G133" s="380" t="s">
        <v>222</v>
      </c>
      <c r="H133" s="512">
        <v>32.19</v>
      </c>
      <c r="I133" s="380" t="s">
        <v>517</v>
      </c>
      <c r="J133" s="355"/>
      <c r="K133" s="355"/>
      <c r="L133" s="355"/>
      <c r="N133" s="346">
        <f t="shared" si="7"/>
        <v>32.19</v>
      </c>
      <c r="O133" s="346">
        <f t="shared" si="8"/>
        <v>0</v>
      </c>
      <c r="P133" s="346">
        <f t="shared" si="9"/>
        <v>0</v>
      </c>
      <c r="Q133" s="346">
        <f t="shared" si="10"/>
        <v>0</v>
      </c>
      <c r="R133" s="346">
        <f t="shared" si="11"/>
        <v>0</v>
      </c>
      <c r="S133" s="346">
        <f t="shared" si="12"/>
        <v>0</v>
      </c>
      <c r="T133" s="346">
        <f t="shared" si="13"/>
        <v>0</v>
      </c>
    </row>
    <row r="134" spans="1:20" ht="18" customHeight="1" outlineLevel="1">
      <c r="A134" t="s">
        <v>187</v>
      </c>
      <c r="B134" s="627"/>
      <c r="C134" s="426">
        <v>46090</v>
      </c>
      <c r="D134" s="380" t="s">
        <v>184</v>
      </c>
      <c r="E134" s="380" t="s">
        <v>504</v>
      </c>
      <c r="F134" s="380" t="s">
        <v>209</v>
      </c>
      <c r="G134" s="380" t="s">
        <v>222</v>
      </c>
      <c r="H134" s="512">
        <v>43.24</v>
      </c>
      <c r="I134" s="380" t="s">
        <v>517</v>
      </c>
      <c r="J134" s="355"/>
      <c r="K134" s="355"/>
      <c r="L134" s="355"/>
      <c r="N134" s="346">
        <f t="shared" si="7"/>
        <v>43.24</v>
      </c>
      <c r="O134" s="346">
        <f t="shared" si="8"/>
        <v>0</v>
      </c>
      <c r="P134" s="346">
        <f t="shared" si="9"/>
        <v>0</v>
      </c>
      <c r="Q134" s="346">
        <f t="shared" si="10"/>
        <v>0</v>
      </c>
      <c r="R134" s="346">
        <f t="shared" si="11"/>
        <v>0</v>
      </c>
      <c r="S134" s="346">
        <f t="shared" si="12"/>
        <v>0</v>
      </c>
      <c r="T134" s="346">
        <f t="shared" si="13"/>
        <v>0</v>
      </c>
    </row>
    <row r="135" spans="1:20" ht="18" customHeight="1" outlineLevel="1">
      <c r="A135" t="s">
        <v>187</v>
      </c>
      <c r="B135" s="627"/>
      <c r="C135" s="379">
        <v>46090</v>
      </c>
      <c r="D135" s="380" t="s">
        <v>185</v>
      </c>
      <c r="E135" s="380" t="s">
        <v>503</v>
      </c>
      <c r="F135" s="380" t="s">
        <v>209</v>
      </c>
      <c r="G135" s="380" t="s">
        <v>222</v>
      </c>
      <c r="H135" s="512">
        <v>55</v>
      </c>
      <c r="I135" s="380" t="s">
        <v>44</v>
      </c>
      <c r="J135" s="355"/>
      <c r="K135" s="355"/>
      <c r="L135" s="355"/>
      <c r="N135" s="346">
        <f t="shared" si="7"/>
        <v>55</v>
      </c>
      <c r="O135" s="346">
        <f t="shared" si="8"/>
        <v>0</v>
      </c>
      <c r="P135" s="346">
        <f t="shared" si="9"/>
        <v>0</v>
      </c>
      <c r="Q135" s="346">
        <f t="shared" si="10"/>
        <v>0</v>
      </c>
      <c r="R135" s="346">
        <f t="shared" si="11"/>
        <v>0</v>
      </c>
      <c r="S135" s="346">
        <f t="shared" si="12"/>
        <v>0</v>
      </c>
      <c r="T135" s="346">
        <f t="shared" si="13"/>
        <v>0</v>
      </c>
    </row>
    <row r="136" spans="1:20" ht="18" customHeight="1" outlineLevel="1">
      <c r="A136" t="s">
        <v>187</v>
      </c>
      <c r="B136" s="627"/>
      <c r="C136" s="426">
        <v>46090</v>
      </c>
      <c r="D136" s="380" t="s">
        <v>186</v>
      </c>
      <c r="E136" s="380" t="s">
        <v>504</v>
      </c>
      <c r="F136" s="380" t="s">
        <v>209</v>
      </c>
      <c r="G136" s="380" t="s">
        <v>222</v>
      </c>
      <c r="H136" s="512">
        <v>18.14</v>
      </c>
      <c r="I136" s="380" t="s">
        <v>517</v>
      </c>
      <c r="J136" s="355"/>
      <c r="K136" s="355"/>
      <c r="L136" s="355"/>
      <c r="N136" s="346">
        <f t="shared" si="7"/>
        <v>18.14</v>
      </c>
      <c r="O136" s="346">
        <f t="shared" si="8"/>
        <v>0</v>
      </c>
      <c r="P136" s="346">
        <f t="shared" si="9"/>
        <v>0</v>
      </c>
      <c r="Q136" s="346">
        <f t="shared" si="10"/>
        <v>0</v>
      </c>
      <c r="R136" s="346">
        <f t="shared" si="11"/>
        <v>0</v>
      </c>
      <c r="S136" s="346">
        <f t="shared" si="12"/>
        <v>0</v>
      </c>
      <c r="T136" s="346">
        <f t="shared" si="13"/>
        <v>0</v>
      </c>
    </row>
    <row r="137" spans="1:20" ht="18" customHeight="1">
      <c r="A137" t="s">
        <v>187</v>
      </c>
      <c r="B137" s="433"/>
      <c r="C137" s="499"/>
      <c r="D137" s="499"/>
      <c r="E137" s="499"/>
      <c r="F137" s="499"/>
      <c r="G137" s="499"/>
      <c r="H137" s="499"/>
      <c r="I137" s="499"/>
      <c r="N137" s="346">
        <f t="shared" ref="N137:N203" si="14">IF(OR(E137="Personal Expense",E137="Recurring Expense"),H137,0)</f>
        <v>0</v>
      </c>
      <c r="O137" s="346">
        <f t="shared" ref="O137:O203" si="15">IF(E137="Internal Transfer",H137,0)</f>
        <v>0</v>
      </c>
      <c r="P137" s="346">
        <f t="shared" ref="P137:P203" si="16">IF(E137="Saving Allocation",H137,0)</f>
        <v>0</v>
      </c>
      <c r="Q137" s="346">
        <f t="shared" ref="Q137:Q203" si="17">IF(E137="Investment",H137,0)</f>
        <v>0</v>
      </c>
      <c r="R137" s="346">
        <f t="shared" ref="R137:R203" si="18">IF(E137="Debt Repayment",H137,0)</f>
        <v>0</v>
      </c>
      <c r="S137" s="346">
        <f t="shared" ref="S137:S203" si="19">IF(E137="Joint Account",H137,0)</f>
        <v>0</v>
      </c>
      <c r="T137" s="346">
        <f t="shared" ref="T137:T203" si="20">IF(E137="Income",H137,0)</f>
        <v>0</v>
      </c>
    </row>
    <row r="138" spans="1:20" ht="18" customHeight="1">
      <c r="A138" t="s">
        <v>187</v>
      </c>
      <c r="B138" s="633" t="s">
        <v>254</v>
      </c>
      <c r="C138" s="612"/>
      <c r="D138" s="612"/>
      <c r="E138" s="612"/>
      <c r="F138" s="612"/>
      <c r="G138" s="613"/>
      <c r="H138" s="395">
        <f>SUMIF(E125:E136,"Income",H125:H136)</f>
        <v>761.42</v>
      </c>
      <c r="I138" s="434"/>
      <c r="J138" s="358"/>
      <c r="K138" s="358"/>
      <c r="L138" s="358"/>
      <c r="N138" s="346">
        <f t="shared" si="14"/>
        <v>0</v>
      </c>
      <c r="O138" s="346">
        <f t="shared" si="15"/>
        <v>0</v>
      </c>
      <c r="P138" s="346">
        <f t="shared" si="16"/>
        <v>0</v>
      </c>
      <c r="Q138" s="346">
        <f t="shared" si="17"/>
        <v>0</v>
      </c>
      <c r="R138" s="346">
        <f t="shared" si="18"/>
        <v>0</v>
      </c>
      <c r="S138" s="346">
        <f t="shared" si="19"/>
        <v>0</v>
      </c>
      <c r="T138" s="346">
        <f t="shared" si="20"/>
        <v>0</v>
      </c>
    </row>
    <row r="139" spans="1:20" ht="18" customHeight="1">
      <c r="A139" t="s">
        <v>187</v>
      </c>
      <c r="B139" s="435"/>
      <c r="C139" s="442"/>
      <c r="D139" s="442"/>
      <c r="E139" s="442"/>
      <c r="F139" s="615" t="s">
        <v>354</v>
      </c>
      <c r="G139" s="613"/>
      <c r="H139" s="399">
        <f>SUMIF(E125:E136,"Joint Account",H125:H136)</f>
        <v>200</v>
      </c>
      <c r="I139" s="437"/>
      <c r="J139" s="358"/>
      <c r="K139" s="358"/>
      <c r="L139" s="358"/>
      <c r="N139" s="346">
        <f t="shared" si="14"/>
        <v>0</v>
      </c>
      <c r="O139" s="346">
        <f t="shared" si="15"/>
        <v>0</v>
      </c>
      <c r="P139" s="346">
        <f t="shared" si="16"/>
        <v>0</v>
      </c>
      <c r="Q139" s="346">
        <f t="shared" si="17"/>
        <v>0</v>
      </c>
      <c r="R139" s="346">
        <f t="shared" si="18"/>
        <v>0</v>
      </c>
      <c r="S139" s="346">
        <f t="shared" si="19"/>
        <v>0</v>
      </c>
      <c r="T139" s="346">
        <f t="shared" si="20"/>
        <v>0</v>
      </c>
    </row>
    <row r="140" spans="1:20" ht="18" customHeight="1">
      <c r="A140" t="s">
        <v>187</v>
      </c>
      <c r="B140" s="616" t="s">
        <v>226</v>
      </c>
      <c r="C140" s="612"/>
      <c r="D140" s="612"/>
      <c r="E140" s="612"/>
      <c r="F140" s="612"/>
      <c r="G140" s="613"/>
      <c r="H140" s="404">
        <f>SUMIF(E125:E136,"Recurring Expense",H125:H136)</f>
        <v>250.99</v>
      </c>
      <c r="I140" s="431"/>
      <c r="J140" s="357"/>
      <c r="K140" s="357"/>
      <c r="L140" s="357"/>
      <c r="N140" s="346">
        <f t="shared" si="14"/>
        <v>0</v>
      </c>
      <c r="O140" s="346">
        <f t="shared" si="15"/>
        <v>0</v>
      </c>
      <c r="P140" s="346">
        <f t="shared" si="16"/>
        <v>0</v>
      </c>
      <c r="Q140" s="346">
        <f t="shared" si="17"/>
        <v>0</v>
      </c>
      <c r="R140" s="346">
        <f t="shared" si="18"/>
        <v>0</v>
      </c>
      <c r="S140" s="346">
        <f t="shared" si="19"/>
        <v>0</v>
      </c>
      <c r="T140" s="346">
        <f t="shared" si="20"/>
        <v>0</v>
      </c>
    </row>
    <row r="141" spans="1:20" ht="18" customHeight="1">
      <c r="A141" t="s">
        <v>187</v>
      </c>
      <c r="B141" s="616" t="s">
        <v>227</v>
      </c>
      <c r="C141" s="612"/>
      <c r="D141" s="612"/>
      <c r="E141" s="612"/>
      <c r="F141" s="612"/>
      <c r="G141" s="613"/>
      <c r="H141" s="404">
        <f>SUMIF(E125:E136,"Investment",H125:H136)</f>
        <v>0</v>
      </c>
      <c r="I141" s="431"/>
      <c r="J141" s="357"/>
      <c r="K141" s="357"/>
      <c r="L141" s="357"/>
      <c r="N141" s="346">
        <f t="shared" si="14"/>
        <v>0</v>
      </c>
      <c r="O141" s="346">
        <f t="shared" si="15"/>
        <v>0</v>
      </c>
      <c r="P141" s="346">
        <f t="shared" si="16"/>
        <v>0</v>
      </c>
      <c r="Q141" s="346">
        <f t="shared" si="17"/>
        <v>0</v>
      </c>
      <c r="R141" s="346">
        <f t="shared" si="18"/>
        <v>0</v>
      </c>
      <c r="S141" s="346">
        <f t="shared" si="19"/>
        <v>0</v>
      </c>
      <c r="T141" s="346">
        <f t="shared" si="20"/>
        <v>0</v>
      </c>
    </row>
    <row r="142" spans="1:20" ht="18" customHeight="1">
      <c r="A142" t="s">
        <v>187</v>
      </c>
      <c r="B142" s="401"/>
      <c r="C142" s="402"/>
      <c r="D142" s="402"/>
      <c r="E142" s="402"/>
      <c r="F142" s="402"/>
      <c r="G142" s="403" t="s">
        <v>250</v>
      </c>
      <c r="H142" s="404">
        <f>SUMIF(E125:E136,"Saving Allocation",H125:H136)</f>
        <v>0</v>
      </c>
      <c r="I142" s="431"/>
      <c r="J142" s="357"/>
      <c r="K142" s="357"/>
      <c r="L142" s="357"/>
      <c r="N142" s="346">
        <f t="shared" si="14"/>
        <v>0</v>
      </c>
      <c r="O142" s="346">
        <f t="shared" si="15"/>
        <v>0</v>
      </c>
      <c r="P142" s="346">
        <f t="shared" si="16"/>
        <v>0</v>
      </c>
      <c r="Q142" s="346">
        <f t="shared" si="17"/>
        <v>0</v>
      </c>
      <c r="R142" s="346">
        <f t="shared" si="18"/>
        <v>0</v>
      </c>
      <c r="S142" s="346">
        <f t="shared" si="19"/>
        <v>0</v>
      </c>
      <c r="T142" s="346">
        <f t="shared" si="20"/>
        <v>0</v>
      </c>
    </row>
    <row r="143" spans="1:20" ht="18" customHeight="1">
      <c r="A143" t="s">
        <v>187</v>
      </c>
      <c r="B143" s="616" t="s">
        <v>251</v>
      </c>
      <c r="C143" s="612"/>
      <c r="D143" s="612"/>
      <c r="E143" s="612"/>
      <c r="F143" s="612"/>
      <c r="G143" s="613"/>
      <c r="H143" s="404">
        <f>SUMIF(E125:E136,"Personal Expense",H125:H136)</f>
        <v>137.56</v>
      </c>
      <c r="I143" s="431"/>
      <c r="J143" s="357"/>
      <c r="K143" s="357"/>
      <c r="L143" s="357"/>
      <c r="N143" s="346">
        <f t="shared" si="14"/>
        <v>0</v>
      </c>
      <c r="O143" s="346">
        <f t="shared" si="15"/>
        <v>0</v>
      </c>
      <c r="P143" s="346">
        <f t="shared" si="16"/>
        <v>0</v>
      </c>
      <c r="Q143" s="346">
        <f t="shared" si="17"/>
        <v>0</v>
      </c>
      <c r="R143" s="346">
        <f t="shared" si="18"/>
        <v>0</v>
      </c>
      <c r="S143" s="346">
        <f t="shared" si="19"/>
        <v>0</v>
      </c>
      <c r="T143" s="346">
        <f t="shared" si="20"/>
        <v>0</v>
      </c>
    </row>
    <row r="144" spans="1:20" ht="18" customHeight="1">
      <c r="A144" t="s">
        <v>187</v>
      </c>
      <c r="B144" s="401"/>
      <c r="C144" s="402"/>
      <c r="D144" s="402"/>
      <c r="E144" s="402"/>
      <c r="F144" s="402"/>
      <c r="G144" s="438" t="s">
        <v>495</v>
      </c>
      <c r="H144" s="404">
        <f>SUMIF(E125:E136,"Debt Repayment",H125:H136)</f>
        <v>375</v>
      </c>
      <c r="I144" s="431"/>
      <c r="J144" s="357"/>
      <c r="K144" s="357"/>
      <c r="L144" s="357"/>
      <c r="N144" s="346">
        <f t="shared" si="14"/>
        <v>0</v>
      </c>
      <c r="O144" s="346">
        <f t="shared" si="15"/>
        <v>0</v>
      </c>
      <c r="P144" s="346">
        <f t="shared" si="16"/>
        <v>0</v>
      </c>
      <c r="Q144" s="346">
        <f t="shared" si="17"/>
        <v>0</v>
      </c>
      <c r="R144" s="346">
        <f t="shared" si="18"/>
        <v>0</v>
      </c>
      <c r="S144" s="346">
        <f t="shared" si="19"/>
        <v>0</v>
      </c>
      <c r="T144" s="346">
        <f t="shared" si="20"/>
        <v>0</v>
      </c>
    </row>
    <row r="145" spans="1:20" ht="18" customHeight="1">
      <c r="A145" t="s">
        <v>187</v>
      </c>
      <c r="B145" s="415"/>
      <c r="C145" s="416"/>
      <c r="D145" s="416"/>
      <c r="E145" s="416"/>
      <c r="F145" s="416"/>
      <c r="G145" s="416" t="s">
        <v>253</v>
      </c>
      <c r="H145" s="413">
        <f>H140+H143+H139+H141+H144</f>
        <v>963.55</v>
      </c>
      <c r="I145" s="414"/>
      <c r="J145" s="60"/>
      <c r="K145" s="60"/>
      <c r="L145" s="60"/>
      <c r="N145" s="346">
        <f t="shared" si="14"/>
        <v>0</v>
      </c>
      <c r="O145" s="346">
        <f t="shared" si="15"/>
        <v>0</v>
      </c>
      <c r="P145" s="346">
        <f t="shared" si="16"/>
        <v>0</v>
      </c>
      <c r="Q145" s="346">
        <f t="shared" si="17"/>
        <v>0</v>
      </c>
      <c r="R145" s="346">
        <f t="shared" si="18"/>
        <v>0</v>
      </c>
      <c r="S145" s="346">
        <f t="shared" si="19"/>
        <v>0</v>
      </c>
      <c r="T145" s="346">
        <f t="shared" si="20"/>
        <v>0</v>
      </c>
    </row>
    <row r="146" spans="1:20" ht="18" customHeight="1">
      <c r="A146" t="s">
        <v>187</v>
      </c>
      <c r="B146" s="577"/>
      <c r="C146" s="579"/>
      <c r="D146" s="579"/>
      <c r="E146" s="579"/>
      <c r="F146" s="579"/>
      <c r="G146" s="579" t="s">
        <v>497</v>
      </c>
      <c r="H146" s="578">
        <f>H138-(H140+H143)-H139-H141-H144</f>
        <v>-202.13000000000005</v>
      </c>
      <c r="I146" s="414"/>
      <c r="J146" s="60"/>
      <c r="K146" s="60"/>
      <c r="L146" s="60"/>
      <c r="N146" s="346">
        <f t="shared" si="14"/>
        <v>0</v>
      </c>
      <c r="O146" s="346">
        <f t="shared" si="15"/>
        <v>0</v>
      </c>
      <c r="P146" s="346">
        <f t="shared" si="16"/>
        <v>0</v>
      </c>
      <c r="Q146" s="346">
        <f t="shared" si="17"/>
        <v>0</v>
      </c>
      <c r="R146" s="346">
        <f t="shared" si="18"/>
        <v>0</v>
      </c>
      <c r="S146" s="346">
        <f t="shared" si="19"/>
        <v>0</v>
      </c>
      <c r="T146" s="346">
        <f t="shared" si="20"/>
        <v>0</v>
      </c>
    </row>
    <row r="147" spans="1:20" ht="18" customHeight="1">
      <c r="B147" s="415"/>
      <c r="C147" s="416"/>
      <c r="D147" s="416"/>
      <c r="E147" s="416"/>
      <c r="F147" s="416"/>
      <c r="G147" s="416" t="s">
        <v>554</v>
      </c>
      <c r="H147" s="439">
        <f>H146+SUMIFS($H:$H,$A:$A,A146,$E:$E,"Saving Allocation")</f>
        <v>-202.13000000000005</v>
      </c>
      <c r="I147" s="418"/>
      <c r="J147" s="60"/>
      <c r="K147" s="60"/>
      <c r="L147" s="60"/>
      <c r="N147" s="346"/>
      <c r="O147" s="346"/>
      <c r="P147" s="346"/>
      <c r="Q147" s="346"/>
      <c r="R147" s="346"/>
      <c r="S147" s="346"/>
      <c r="T147" s="346"/>
    </row>
    <row r="148" spans="1:20" ht="18" customHeight="1">
      <c r="A148" t="s">
        <v>187</v>
      </c>
      <c r="B148" s="498"/>
      <c r="C148" s="425"/>
      <c r="D148" s="425"/>
      <c r="E148" s="425"/>
      <c r="F148" s="425"/>
      <c r="G148" s="425"/>
      <c r="H148" s="419"/>
      <c r="I148" s="420"/>
      <c r="J148" s="60"/>
      <c r="K148" s="60"/>
      <c r="L148" s="60"/>
      <c r="N148" s="346">
        <f t="shared" si="14"/>
        <v>0</v>
      </c>
      <c r="O148" s="346">
        <f t="shared" si="15"/>
        <v>0</v>
      </c>
      <c r="P148" s="346">
        <f t="shared" si="16"/>
        <v>0</v>
      </c>
      <c r="Q148" s="346">
        <f t="shared" si="17"/>
        <v>0</v>
      </c>
      <c r="R148" s="346">
        <f t="shared" si="18"/>
        <v>0</v>
      </c>
      <c r="S148" s="346">
        <f t="shared" si="19"/>
        <v>0</v>
      </c>
      <c r="T148" s="346">
        <f t="shared" si="20"/>
        <v>0</v>
      </c>
    </row>
    <row r="149" spans="1:20" ht="18" customHeight="1" outlineLevel="1">
      <c r="A149" t="s">
        <v>188</v>
      </c>
      <c r="B149" s="642" t="s">
        <v>188</v>
      </c>
      <c r="C149" s="443">
        <v>46091</v>
      </c>
      <c r="D149" s="440" t="s">
        <v>204</v>
      </c>
      <c r="E149" s="440" t="s">
        <v>207</v>
      </c>
      <c r="F149" s="440" t="s">
        <v>208</v>
      </c>
      <c r="G149" s="440" t="s">
        <v>209</v>
      </c>
      <c r="H149" s="378">
        <v>1026</v>
      </c>
      <c r="I149" s="440" t="s">
        <v>215</v>
      </c>
      <c r="J149" s="359"/>
      <c r="K149" s="359"/>
      <c r="L149" s="359"/>
      <c r="N149" s="346">
        <f t="shared" si="14"/>
        <v>0</v>
      </c>
      <c r="O149" s="346">
        <f t="shared" si="15"/>
        <v>0</v>
      </c>
      <c r="P149" s="346">
        <f t="shared" si="16"/>
        <v>0</v>
      </c>
      <c r="Q149" s="346">
        <f t="shared" si="17"/>
        <v>0</v>
      </c>
      <c r="R149" s="346">
        <f t="shared" si="18"/>
        <v>0</v>
      </c>
      <c r="S149" s="346">
        <f t="shared" si="19"/>
        <v>0</v>
      </c>
      <c r="T149" s="346">
        <f t="shared" si="20"/>
        <v>1026</v>
      </c>
    </row>
    <row r="150" spans="1:20" ht="18" customHeight="1" outlineLevel="1">
      <c r="A150" t="s">
        <v>188</v>
      </c>
      <c r="B150" s="643"/>
      <c r="C150" s="379">
        <v>46092</v>
      </c>
      <c r="D150" s="380" t="s">
        <v>189</v>
      </c>
      <c r="E150" s="380" t="s">
        <v>504</v>
      </c>
      <c r="F150" s="380" t="s">
        <v>209</v>
      </c>
      <c r="G150" s="380" t="s">
        <v>222</v>
      </c>
      <c r="H150" s="512">
        <v>6.16</v>
      </c>
      <c r="I150" s="380" t="s">
        <v>517</v>
      </c>
      <c r="J150" s="355"/>
      <c r="K150" s="355"/>
      <c r="L150" s="355"/>
      <c r="N150" s="346">
        <f t="shared" si="14"/>
        <v>6.16</v>
      </c>
      <c r="O150" s="346">
        <f t="shared" si="15"/>
        <v>0</v>
      </c>
      <c r="P150" s="346">
        <f t="shared" si="16"/>
        <v>0</v>
      </c>
      <c r="Q150" s="346">
        <f t="shared" si="17"/>
        <v>0</v>
      </c>
      <c r="R150" s="346">
        <f t="shared" si="18"/>
        <v>0</v>
      </c>
      <c r="S150" s="346">
        <f t="shared" si="19"/>
        <v>0</v>
      </c>
      <c r="T150" s="346">
        <f t="shared" si="20"/>
        <v>0</v>
      </c>
    </row>
    <row r="151" spans="1:20" ht="18" customHeight="1" outlineLevel="1">
      <c r="A151" t="s">
        <v>188</v>
      </c>
      <c r="B151" s="643"/>
      <c r="C151" s="379">
        <v>46092</v>
      </c>
      <c r="D151" s="380" t="s">
        <v>190</v>
      </c>
      <c r="E151" s="380" t="s">
        <v>504</v>
      </c>
      <c r="F151" s="380" t="s">
        <v>209</v>
      </c>
      <c r="G151" s="380" t="s">
        <v>222</v>
      </c>
      <c r="H151" s="512">
        <v>40</v>
      </c>
      <c r="I151" s="380" t="s">
        <v>220</v>
      </c>
      <c r="J151" s="355"/>
      <c r="K151" s="355"/>
      <c r="L151" s="355"/>
      <c r="N151" s="346">
        <f t="shared" si="14"/>
        <v>40</v>
      </c>
      <c r="O151" s="346">
        <f t="shared" si="15"/>
        <v>0</v>
      </c>
      <c r="P151" s="346">
        <f t="shared" si="16"/>
        <v>0</v>
      </c>
      <c r="Q151" s="346">
        <f t="shared" si="17"/>
        <v>0</v>
      </c>
      <c r="R151" s="346">
        <f t="shared" si="18"/>
        <v>0</v>
      </c>
      <c r="S151" s="346">
        <f t="shared" si="19"/>
        <v>0</v>
      </c>
      <c r="T151" s="346">
        <f t="shared" si="20"/>
        <v>0</v>
      </c>
    </row>
    <row r="152" spans="1:20" ht="18" customHeight="1" outlineLevel="1">
      <c r="A152" t="s">
        <v>188</v>
      </c>
      <c r="B152" s="643"/>
      <c r="C152" s="426">
        <v>46092</v>
      </c>
      <c r="D152" s="380" t="s">
        <v>100</v>
      </c>
      <c r="E152" s="380" t="s">
        <v>503</v>
      </c>
      <c r="F152" s="380" t="s">
        <v>209</v>
      </c>
      <c r="G152" s="380" t="s">
        <v>210</v>
      </c>
      <c r="H152" s="512">
        <v>150</v>
      </c>
      <c r="I152" s="380" t="s">
        <v>34</v>
      </c>
      <c r="J152" s="355"/>
      <c r="K152" s="355"/>
      <c r="L152" s="355"/>
      <c r="N152" s="346">
        <f t="shared" si="14"/>
        <v>150</v>
      </c>
      <c r="O152" s="346">
        <f t="shared" si="15"/>
        <v>0</v>
      </c>
      <c r="P152" s="346">
        <f t="shared" si="16"/>
        <v>0</v>
      </c>
      <c r="Q152" s="346">
        <f t="shared" si="17"/>
        <v>0</v>
      </c>
      <c r="R152" s="346">
        <f t="shared" si="18"/>
        <v>0</v>
      </c>
      <c r="S152" s="346">
        <f t="shared" si="19"/>
        <v>0</v>
      </c>
      <c r="T152" s="346">
        <f t="shared" si="20"/>
        <v>0</v>
      </c>
    </row>
    <row r="153" spans="1:20" ht="18" customHeight="1" outlineLevel="1">
      <c r="A153" t="s">
        <v>188</v>
      </c>
      <c r="B153" s="643"/>
      <c r="C153" s="426">
        <v>46092</v>
      </c>
      <c r="D153" s="380" t="s">
        <v>193</v>
      </c>
      <c r="E153" s="380" t="s">
        <v>478</v>
      </c>
      <c r="F153" s="380" t="s">
        <v>209</v>
      </c>
      <c r="G153" s="380" t="s">
        <v>549</v>
      </c>
      <c r="H153" s="512">
        <v>600</v>
      </c>
      <c r="I153" s="380" t="s">
        <v>224</v>
      </c>
      <c r="J153" s="355"/>
      <c r="K153" s="355"/>
      <c r="L153" s="355"/>
      <c r="N153" s="346">
        <f t="shared" si="14"/>
        <v>0</v>
      </c>
      <c r="O153" s="346">
        <f t="shared" si="15"/>
        <v>0</v>
      </c>
      <c r="P153" s="346">
        <f t="shared" si="16"/>
        <v>600</v>
      </c>
      <c r="Q153" s="346">
        <f t="shared" si="17"/>
        <v>0</v>
      </c>
      <c r="R153" s="346">
        <f t="shared" si="18"/>
        <v>0</v>
      </c>
      <c r="S153" s="346">
        <f t="shared" si="19"/>
        <v>0</v>
      </c>
      <c r="T153" s="346">
        <f t="shared" si="20"/>
        <v>0</v>
      </c>
    </row>
    <row r="154" spans="1:20" ht="18" customHeight="1" outlineLevel="1">
      <c r="A154" t="s">
        <v>188</v>
      </c>
      <c r="B154" s="643"/>
      <c r="C154" s="426">
        <v>46094</v>
      </c>
      <c r="D154" s="380" t="s">
        <v>102</v>
      </c>
      <c r="E154" s="380" t="s">
        <v>218</v>
      </c>
      <c r="F154" s="380" t="s">
        <v>209</v>
      </c>
      <c r="G154" s="380" t="s">
        <v>212</v>
      </c>
      <c r="H154" s="512">
        <v>15</v>
      </c>
      <c r="I154" s="380" t="s">
        <v>218</v>
      </c>
      <c r="J154" s="355"/>
      <c r="K154" s="355"/>
      <c r="L154" s="355"/>
      <c r="N154" s="346">
        <f t="shared" si="14"/>
        <v>0</v>
      </c>
      <c r="O154" s="346">
        <f t="shared" si="15"/>
        <v>0</v>
      </c>
      <c r="P154" s="346">
        <f t="shared" si="16"/>
        <v>0</v>
      </c>
      <c r="Q154" s="346">
        <f t="shared" si="17"/>
        <v>15</v>
      </c>
      <c r="R154" s="346">
        <f t="shared" si="18"/>
        <v>0</v>
      </c>
      <c r="S154" s="346">
        <f t="shared" si="19"/>
        <v>0</v>
      </c>
      <c r="T154" s="346">
        <f t="shared" si="20"/>
        <v>0</v>
      </c>
    </row>
    <row r="155" spans="1:20" ht="18" customHeight="1" outlineLevel="1">
      <c r="A155" t="s">
        <v>188</v>
      </c>
      <c r="B155" s="643"/>
      <c r="C155" s="426">
        <v>46094</v>
      </c>
      <c r="D155" s="380" t="s">
        <v>151</v>
      </c>
      <c r="E155" s="380" t="s">
        <v>504</v>
      </c>
      <c r="F155" s="380" t="s">
        <v>209</v>
      </c>
      <c r="G155" s="380" t="s">
        <v>222</v>
      </c>
      <c r="H155" s="512">
        <v>10</v>
      </c>
      <c r="I155" s="380" t="s">
        <v>219</v>
      </c>
      <c r="J155" s="355"/>
      <c r="K155" s="355"/>
      <c r="L155" s="355"/>
      <c r="N155" s="346">
        <f t="shared" si="14"/>
        <v>10</v>
      </c>
      <c r="O155" s="346">
        <f t="shared" si="15"/>
        <v>0</v>
      </c>
      <c r="P155" s="346">
        <f t="shared" si="16"/>
        <v>0</v>
      </c>
      <c r="Q155" s="346">
        <f t="shared" si="17"/>
        <v>0</v>
      </c>
      <c r="R155" s="346">
        <f t="shared" si="18"/>
        <v>0</v>
      </c>
      <c r="S155" s="346">
        <f t="shared" si="19"/>
        <v>0</v>
      </c>
      <c r="T155" s="346">
        <f t="shared" si="20"/>
        <v>0</v>
      </c>
    </row>
    <row r="156" spans="1:20" ht="18" customHeight="1" outlineLevel="1">
      <c r="A156" t="s">
        <v>188</v>
      </c>
      <c r="B156" s="643"/>
      <c r="C156" s="426">
        <v>46094</v>
      </c>
      <c r="D156" s="380" t="s">
        <v>192</v>
      </c>
      <c r="E156" s="380" t="s">
        <v>504</v>
      </c>
      <c r="F156" s="380" t="s">
        <v>209</v>
      </c>
      <c r="G156" s="380" t="s">
        <v>222</v>
      </c>
      <c r="H156" s="512">
        <v>121.01</v>
      </c>
      <c r="I156" s="380" t="s">
        <v>220</v>
      </c>
      <c r="J156" s="355"/>
      <c r="K156" s="355"/>
      <c r="L156" s="355"/>
      <c r="N156" s="346">
        <f t="shared" si="14"/>
        <v>121.01</v>
      </c>
      <c r="O156" s="346">
        <f t="shared" si="15"/>
        <v>0</v>
      </c>
      <c r="P156" s="346">
        <f t="shared" si="16"/>
        <v>0</v>
      </c>
      <c r="Q156" s="346">
        <f t="shared" si="17"/>
        <v>0</v>
      </c>
      <c r="R156" s="346">
        <f t="shared" si="18"/>
        <v>0</v>
      </c>
      <c r="S156" s="346">
        <f t="shared" si="19"/>
        <v>0</v>
      </c>
      <c r="T156" s="346">
        <f t="shared" si="20"/>
        <v>0</v>
      </c>
    </row>
    <row r="157" spans="1:20" ht="18" customHeight="1" outlineLevel="1">
      <c r="A157" t="s">
        <v>188</v>
      </c>
      <c r="B157" s="643"/>
      <c r="C157" s="426">
        <v>46094</v>
      </c>
      <c r="D157" s="380" t="s">
        <v>101</v>
      </c>
      <c r="E157" s="380" t="s">
        <v>211</v>
      </c>
      <c r="F157" s="380" t="s">
        <v>209</v>
      </c>
      <c r="G157" s="380" t="s">
        <v>211</v>
      </c>
      <c r="H157" s="512">
        <v>50</v>
      </c>
      <c r="I157" s="380" t="s">
        <v>216</v>
      </c>
      <c r="J157" s="355"/>
      <c r="K157" s="355"/>
      <c r="L157" s="355"/>
      <c r="N157" s="346">
        <f t="shared" si="14"/>
        <v>0</v>
      </c>
      <c r="O157" s="346">
        <f t="shared" si="15"/>
        <v>0</v>
      </c>
      <c r="P157" s="346">
        <f t="shared" si="16"/>
        <v>0</v>
      </c>
      <c r="Q157" s="346">
        <f t="shared" si="17"/>
        <v>0</v>
      </c>
      <c r="R157" s="346">
        <f t="shared" si="18"/>
        <v>0</v>
      </c>
      <c r="S157" s="346">
        <f t="shared" si="19"/>
        <v>50</v>
      </c>
      <c r="T157" s="346">
        <f t="shared" si="20"/>
        <v>0</v>
      </c>
    </row>
    <row r="158" spans="1:20" ht="18" customHeight="1" outlineLevel="1">
      <c r="A158" t="s">
        <v>188</v>
      </c>
      <c r="B158" s="643"/>
      <c r="C158" s="426">
        <v>46094</v>
      </c>
      <c r="D158" s="380" t="s">
        <v>194</v>
      </c>
      <c r="E158" s="380" t="s">
        <v>478</v>
      </c>
      <c r="F158" s="380" t="s">
        <v>209</v>
      </c>
      <c r="G158" s="380" t="s">
        <v>353</v>
      </c>
      <c r="H158" s="512">
        <v>30</v>
      </c>
      <c r="I158" s="380" t="s">
        <v>224</v>
      </c>
      <c r="J158" s="355"/>
      <c r="K158" s="355"/>
      <c r="L158" s="355"/>
      <c r="N158" s="346">
        <f t="shared" si="14"/>
        <v>0</v>
      </c>
      <c r="O158" s="346">
        <f t="shared" si="15"/>
        <v>0</v>
      </c>
      <c r="P158" s="346">
        <f t="shared" si="16"/>
        <v>30</v>
      </c>
      <c r="Q158" s="346">
        <f t="shared" si="17"/>
        <v>0</v>
      </c>
      <c r="R158" s="346">
        <f t="shared" si="18"/>
        <v>0</v>
      </c>
      <c r="S158" s="346">
        <f t="shared" si="19"/>
        <v>0</v>
      </c>
      <c r="T158" s="346">
        <f t="shared" si="20"/>
        <v>0</v>
      </c>
    </row>
    <row r="159" spans="1:20" ht="18" customHeight="1" outlineLevel="1">
      <c r="A159" t="s">
        <v>188</v>
      </c>
      <c r="B159" s="444"/>
      <c r="C159" s="426">
        <v>46097</v>
      </c>
      <c r="D159" s="380" t="s">
        <v>244</v>
      </c>
      <c r="E159" s="380" t="s">
        <v>504</v>
      </c>
      <c r="F159" s="380" t="s">
        <v>209</v>
      </c>
      <c r="G159" s="380" t="s">
        <v>222</v>
      </c>
      <c r="H159" s="512">
        <v>8.1999999999999993</v>
      </c>
      <c r="I159" s="380" t="s">
        <v>517</v>
      </c>
      <c r="J159" s="355"/>
      <c r="K159" s="355"/>
      <c r="L159" s="355"/>
      <c r="N159" s="346">
        <f t="shared" si="14"/>
        <v>8.1999999999999993</v>
      </c>
      <c r="O159" s="346">
        <f t="shared" si="15"/>
        <v>0</v>
      </c>
      <c r="P159" s="346">
        <f t="shared" si="16"/>
        <v>0</v>
      </c>
      <c r="Q159" s="346">
        <f t="shared" si="17"/>
        <v>0</v>
      </c>
      <c r="R159" s="346">
        <f t="shared" si="18"/>
        <v>0</v>
      </c>
      <c r="S159" s="346">
        <f t="shared" si="19"/>
        <v>0</v>
      </c>
      <c r="T159" s="346">
        <f t="shared" si="20"/>
        <v>0</v>
      </c>
    </row>
    <row r="160" spans="1:20" ht="18" customHeight="1" outlineLevel="1">
      <c r="A160" t="s">
        <v>188</v>
      </c>
      <c r="B160" s="444"/>
      <c r="C160" s="500">
        <v>46097</v>
      </c>
      <c r="D160" s="380" t="s">
        <v>101</v>
      </c>
      <c r="E160" s="380" t="s">
        <v>211</v>
      </c>
      <c r="F160" s="380" t="s">
        <v>209</v>
      </c>
      <c r="G160" s="380" t="s">
        <v>211</v>
      </c>
      <c r="H160" s="512">
        <v>25</v>
      </c>
      <c r="I160" s="380" t="s">
        <v>216</v>
      </c>
      <c r="J160" s="355"/>
      <c r="K160" s="355"/>
      <c r="L160" s="355"/>
      <c r="N160" s="346">
        <f t="shared" si="14"/>
        <v>0</v>
      </c>
      <c r="O160" s="346">
        <f t="shared" si="15"/>
        <v>0</v>
      </c>
      <c r="P160" s="346">
        <f t="shared" si="16"/>
        <v>0</v>
      </c>
      <c r="Q160" s="346">
        <f t="shared" si="17"/>
        <v>0</v>
      </c>
      <c r="R160" s="346">
        <f t="shared" si="18"/>
        <v>0</v>
      </c>
      <c r="S160" s="346">
        <f t="shared" si="19"/>
        <v>25</v>
      </c>
      <c r="T160" s="346">
        <f t="shared" si="20"/>
        <v>0</v>
      </c>
    </row>
    <row r="161" spans="1:20" ht="18" customHeight="1">
      <c r="A161" t="s">
        <v>188</v>
      </c>
      <c r="B161" s="633" t="s">
        <v>254</v>
      </c>
      <c r="C161" s="612"/>
      <c r="D161" s="612"/>
      <c r="E161" s="612"/>
      <c r="F161" s="612"/>
      <c r="G161" s="613"/>
      <c r="H161" s="395">
        <f>SUMIF(E149:E159,"Income",H149:H159)</f>
        <v>1026</v>
      </c>
      <c r="I161" s="434"/>
      <c r="J161" s="358"/>
      <c r="K161" s="358"/>
      <c r="L161" s="358"/>
      <c r="N161" s="346">
        <f t="shared" si="14"/>
        <v>0</v>
      </c>
      <c r="O161" s="346">
        <f t="shared" si="15"/>
        <v>0</v>
      </c>
      <c r="P161" s="346">
        <f t="shared" si="16"/>
        <v>0</v>
      </c>
      <c r="Q161" s="346">
        <f t="shared" si="17"/>
        <v>0</v>
      </c>
      <c r="R161" s="346">
        <f t="shared" si="18"/>
        <v>0</v>
      </c>
      <c r="S161" s="346">
        <f t="shared" si="19"/>
        <v>0</v>
      </c>
      <c r="T161" s="346">
        <f t="shared" si="20"/>
        <v>0</v>
      </c>
    </row>
    <row r="162" spans="1:20" ht="18" customHeight="1">
      <c r="A162" t="s">
        <v>188</v>
      </c>
      <c r="B162" s="435"/>
      <c r="C162" s="442"/>
      <c r="D162" s="442"/>
      <c r="E162" s="442"/>
      <c r="F162" s="615" t="s">
        <v>354</v>
      </c>
      <c r="G162" s="613"/>
      <c r="H162" s="399">
        <f>SUMIF(E149:E159,"Joint Account",H149:H159)</f>
        <v>50</v>
      </c>
      <c r="I162" s="437"/>
      <c r="J162" s="358"/>
      <c r="K162" s="358"/>
      <c r="L162" s="358"/>
      <c r="N162" s="346">
        <f t="shared" si="14"/>
        <v>0</v>
      </c>
      <c r="O162" s="346">
        <f t="shared" si="15"/>
        <v>0</v>
      </c>
      <c r="P162" s="346">
        <f t="shared" si="16"/>
        <v>0</v>
      </c>
      <c r="Q162" s="346">
        <f t="shared" si="17"/>
        <v>0</v>
      </c>
      <c r="R162" s="346">
        <f t="shared" si="18"/>
        <v>0</v>
      </c>
      <c r="S162" s="346">
        <f t="shared" si="19"/>
        <v>0</v>
      </c>
      <c r="T162" s="346">
        <f t="shared" si="20"/>
        <v>0</v>
      </c>
    </row>
    <row r="163" spans="1:20" ht="18" customHeight="1">
      <c r="A163" t="s">
        <v>188</v>
      </c>
      <c r="B163" s="616" t="s">
        <v>226</v>
      </c>
      <c r="C163" s="612"/>
      <c r="D163" s="612"/>
      <c r="E163" s="612"/>
      <c r="F163" s="612"/>
      <c r="G163" s="613"/>
      <c r="H163" s="404">
        <f>SUMIF(E149:E159,"Recurring Expense",H149:H159)</f>
        <v>150</v>
      </c>
      <c r="I163" s="431"/>
      <c r="J163" s="357"/>
      <c r="K163" s="357"/>
      <c r="L163" s="357"/>
      <c r="N163" s="346">
        <f t="shared" si="14"/>
        <v>0</v>
      </c>
      <c r="O163" s="346">
        <f t="shared" si="15"/>
        <v>0</v>
      </c>
      <c r="P163" s="346">
        <f t="shared" si="16"/>
        <v>0</v>
      </c>
      <c r="Q163" s="346">
        <f t="shared" si="17"/>
        <v>0</v>
      </c>
      <c r="R163" s="346">
        <f t="shared" si="18"/>
        <v>0</v>
      </c>
      <c r="S163" s="346">
        <f t="shared" si="19"/>
        <v>0</v>
      </c>
      <c r="T163" s="346">
        <f t="shared" si="20"/>
        <v>0</v>
      </c>
    </row>
    <row r="164" spans="1:20" ht="18" customHeight="1">
      <c r="A164" t="s">
        <v>188</v>
      </c>
      <c r="B164" s="616" t="s">
        <v>227</v>
      </c>
      <c r="C164" s="612"/>
      <c r="D164" s="612"/>
      <c r="E164" s="612"/>
      <c r="F164" s="612"/>
      <c r="G164" s="613"/>
      <c r="H164" s="404">
        <f>SUMIF(E149:E159,"Investment",H149:H159)</f>
        <v>15</v>
      </c>
      <c r="I164" s="431"/>
      <c r="J164" s="357"/>
      <c r="K164" s="357"/>
      <c r="L164" s="357"/>
      <c r="N164" s="346">
        <f t="shared" si="14"/>
        <v>0</v>
      </c>
      <c r="O164" s="346">
        <f t="shared" si="15"/>
        <v>0</v>
      </c>
      <c r="P164" s="346">
        <f t="shared" si="16"/>
        <v>0</v>
      </c>
      <c r="Q164" s="346">
        <f t="shared" si="17"/>
        <v>0</v>
      </c>
      <c r="R164" s="346">
        <f t="shared" si="18"/>
        <v>0</v>
      </c>
      <c r="S164" s="346">
        <f t="shared" si="19"/>
        <v>0</v>
      </c>
      <c r="T164" s="346">
        <f t="shared" si="20"/>
        <v>0</v>
      </c>
    </row>
    <row r="165" spans="1:20" ht="18" customHeight="1">
      <c r="A165" t="s">
        <v>188</v>
      </c>
      <c r="B165" s="401"/>
      <c r="C165" s="402"/>
      <c r="D165" s="402"/>
      <c r="E165" s="402"/>
      <c r="F165" s="402"/>
      <c r="G165" s="403" t="s">
        <v>250</v>
      </c>
      <c r="H165" s="404">
        <f>SUMIF(E149:E159,"Saving Allocation",H149:H159)</f>
        <v>630</v>
      </c>
      <c r="I165" s="431"/>
      <c r="J165" s="357"/>
      <c r="K165" s="357"/>
      <c r="L165" s="357"/>
      <c r="N165" s="346">
        <f t="shared" si="14"/>
        <v>0</v>
      </c>
      <c r="O165" s="346">
        <f t="shared" si="15"/>
        <v>0</v>
      </c>
      <c r="P165" s="346">
        <f t="shared" si="16"/>
        <v>0</v>
      </c>
      <c r="Q165" s="346">
        <f t="shared" si="17"/>
        <v>0</v>
      </c>
      <c r="R165" s="346">
        <f t="shared" si="18"/>
        <v>0</v>
      </c>
      <c r="S165" s="346">
        <f t="shared" si="19"/>
        <v>0</v>
      </c>
      <c r="T165" s="346">
        <f t="shared" si="20"/>
        <v>0</v>
      </c>
    </row>
    <row r="166" spans="1:20" ht="18" customHeight="1">
      <c r="A166" t="s">
        <v>188</v>
      </c>
      <c r="B166" s="616" t="s">
        <v>251</v>
      </c>
      <c r="C166" s="612"/>
      <c r="D166" s="612"/>
      <c r="E166" s="612"/>
      <c r="F166" s="612"/>
      <c r="G166" s="613"/>
      <c r="H166" s="404">
        <f>SUMIF(E149:E159,"Personal Expense",H149:H159)</f>
        <v>185.37</v>
      </c>
      <c r="I166" s="431"/>
      <c r="J166" s="357"/>
      <c r="K166" s="357"/>
      <c r="L166" s="357"/>
      <c r="N166" s="346">
        <f t="shared" si="14"/>
        <v>0</v>
      </c>
      <c r="O166" s="346">
        <f t="shared" si="15"/>
        <v>0</v>
      </c>
      <c r="P166" s="346">
        <f t="shared" si="16"/>
        <v>0</v>
      </c>
      <c r="Q166" s="346">
        <f t="shared" si="17"/>
        <v>0</v>
      </c>
      <c r="R166" s="346">
        <f t="shared" si="18"/>
        <v>0</v>
      </c>
      <c r="S166" s="346">
        <f t="shared" si="19"/>
        <v>0</v>
      </c>
      <c r="T166" s="346">
        <f t="shared" si="20"/>
        <v>0</v>
      </c>
    </row>
    <row r="167" spans="1:20" ht="18" customHeight="1">
      <c r="A167" t="s">
        <v>188</v>
      </c>
      <c r="B167" s="415"/>
      <c r="C167" s="416"/>
      <c r="D167" s="416"/>
      <c r="E167" s="416"/>
      <c r="F167" s="416"/>
      <c r="G167" s="416" t="s">
        <v>253</v>
      </c>
      <c r="H167" s="413">
        <f>H163+H166+H162+H164+SUMIF(E149:E160,"Debt Repayment",H149:H160)+H165</f>
        <v>1030.3699999999999</v>
      </c>
      <c r="I167" s="414"/>
      <c r="J167" s="60"/>
      <c r="K167" s="60"/>
      <c r="L167" s="60"/>
      <c r="N167" s="346">
        <f t="shared" si="14"/>
        <v>0</v>
      </c>
      <c r="O167" s="346">
        <f t="shared" si="15"/>
        <v>0</v>
      </c>
      <c r="P167" s="346">
        <f t="shared" si="16"/>
        <v>0</v>
      </c>
      <c r="Q167" s="346">
        <f t="shared" si="17"/>
        <v>0</v>
      </c>
      <c r="R167" s="346">
        <f t="shared" si="18"/>
        <v>0</v>
      </c>
      <c r="S167" s="346">
        <f t="shared" si="19"/>
        <v>0</v>
      </c>
      <c r="T167" s="346">
        <f t="shared" si="20"/>
        <v>0</v>
      </c>
    </row>
    <row r="168" spans="1:20" ht="18" customHeight="1">
      <c r="A168" t="s">
        <v>188</v>
      </c>
      <c r="B168" s="577"/>
      <c r="C168" s="579"/>
      <c r="D168" s="579"/>
      <c r="E168" s="579"/>
      <c r="F168" s="579"/>
      <c r="G168" s="579" t="s">
        <v>497</v>
      </c>
      <c r="H168" s="578">
        <f>H161-(H163+H166)-H162-H164-SUMIF(E149:E160,"Debt Repayment",H149:H160)-H165</f>
        <v>-4.3700000000000045</v>
      </c>
      <c r="I168" s="414"/>
      <c r="J168" s="60"/>
      <c r="K168" s="60"/>
      <c r="L168" s="60"/>
      <c r="N168" s="346">
        <f t="shared" si="14"/>
        <v>0</v>
      </c>
      <c r="O168" s="346">
        <f t="shared" si="15"/>
        <v>0</v>
      </c>
      <c r="P168" s="346">
        <f t="shared" si="16"/>
        <v>0</v>
      </c>
      <c r="Q168" s="346">
        <f t="shared" si="17"/>
        <v>0</v>
      </c>
      <c r="R168" s="346">
        <f t="shared" si="18"/>
        <v>0</v>
      </c>
      <c r="S168" s="346">
        <f t="shared" si="19"/>
        <v>0</v>
      </c>
      <c r="T168" s="346">
        <f t="shared" si="20"/>
        <v>0</v>
      </c>
    </row>
    <row r="169" spans="1:20" ht="18" customHeight="1">
      <c r="B169" s="415"/>
      <c r="C169" s="416"/>
      <c r="D169" s="416"/>
      <c r="E169" s="416"/>
      <c r="F169" s="416"/>
      <c r="G169" s="416" t="s">
        <v>554</v>
      </c>
      <c r="H169" s="439">
        <f>H168+SUMIFS($H:$H,$A:$A,A168,$E:$E,"Saving Allocation")</f>
        <v>625.63</v>
      </c>
      <c r="I169" s="418"/>
      <c r="J169" s="60"/>
      <c r="K169" s="60"/>
      <c r="L169" s="60"/>
      <c r="N169" s="346"/>
      <c r="O169" s="346"/>
      <c r="P169" s="346"/>
      <c r="Q169" s="346"/>
      <c r="R169" s="346"/>
      <c r="S169" s="346"/>
      <c r="T169" s="346"/>
    </row>
    <row r="170" spans="1:20" ht="18" customHeight="1">
      <c r="A170" t="s">
        <v>188</v>
      </c>
      <c r="B170" s="498"/>
      <c r="C170" s="425"/>
      <c r="D170" s="425"/>
      <c r="E170" s="425"/>
      <c r="F170" s="425"/>
      <c r="G170" s="425"/>
      <c r="H170" s="419"/>
      <c r="I170" s="420"/>
      <c r="J170" s="60"/>
      <c r="K170" s="60"/>
      <c r="L170" s="60"/>
      <c r="N170" s="346">
        <f t="shared" si="14"/>
        <v>0</v>
      </c>
      <c r="O170" s="346">
        <f t="shared" si="15"/>
        <v>0</v>
      </c>
      <c r="P170" s="346">
        <f t="shared" si="16"/>
        <v>0</v>
      </c>
      <c r="Q170" s="346">
        <f t="shared" si="17"/>
        <v>0</v>
      </c>
      <c r="R170" s="346">
        <f t="shared" si="18"/>
        <v>0</v>
      </c>
      <c r="S170" s="346">
        <f t="shared" si="19"/>
        <v>0</v>
      </c>
      <c r="T170" s="346">
        <f t="shared" si="20"/>
        <v>0</v>
      </c>
    </row>
    <row r="171" spans="1:20" ht="18" customHeight="1" outlineLevel="1">
      <c r="A171" t="s">
        <v>243</v>
      </c>
      <c r="B171" s="623" t="s">
        <v>243</v>
      </c>
      <c r="C171" s="443">
        <v>46098</v>
      </c>
      <c r="D171" s="440" t="s">
        <v>204</v>
      </c>
      <c r="E171" s="440" t="s">
        <v>207</v>
      </c>
      <c r="F171" s="440" t="s">
        <v>208</v>
      </c>
      <c r="G171" s="440" t="s">
        <v>209</v>
      </c>
      <c r="H171" s="378">
        <v>1057.92</v>
      </c>
      <c r="I171" s="440" t="s">
        <v>215</v>
      </c>
      <c r="J171" s="359"/>
      <c r="K171" s="359"/>
      <c r="L171" s="359"/>
      <c r="N171" s="346">
        <f t="shared" si="14"/>
        <v>0</v>
      </c>
      <c r="O171" s="346">
        <f t="shared" si="15"/>
        <v>0</v>
      </c>
      <c r="P171" s="346">
        <f t="shared" si="16"/>
        <v>0</v>
      </c>
      <c r="Q171" s="346">
        <f t="shared" si="17"/>
        <v>0</v>
      </c>
      <c r="R171" s="346">
        <f t="shared" si="18"/>
        <v>0</v>
      </c>
      <c r="S171" s="346">
        <f t="shared" si="19"/>
        <v>0</v>
      </c>
      <c r="T171" s="346">
        <f t="shared" si="20"/>
        <v>1057.92</v>
      </c>
    </row>
    <row r="172" spans="1:20" ht="18" customHeight="1" outlineLevel="1">
      <c r="A172" t="s">
        <v>243</v>
      </c>
      <c r="B172" s="627"/>
      <c r="C172" s="379">
        <v>46098</v>
      </c>
      <c r="D172" s="380" t="s">
        <v>100</v>
      </c>
      <c r="E172" s="380" t="s">
        <v>503</v>
      </c>
      <c r="F172" s="380" t="s">
        <v>209</v>
      </c>
      <c r="G172" s="380" t="s">
        <v>210</v>
      </c>
      <c r="H172" s="512">
        <v>150</v>
      </c>
      <c r="I172" s="380" t="s">
        <v>34</v>
      </c>
      <c r="J172" s="355"/>
      <c r="K172" s="355"/>
      <c r="L172" s="355"/>
      <c r="N172" s="346">
        <f t="shared" si="14"/>
        <v>150</v>
      </c>
      <c r="O172" s="346">
        <f t="shared" si="15"/>
        <v>0</v>
      </c>
      <c r="P172" s="346">
        <f t="shared" si="16"/>
        <v>0</v>
      </c>
      <c r="Q172" s="346">
        <f t="shared" si="17"/>
        <v>0</v>
      </c>
      <c r="R172" s="346">
        <f t="shared" si="18"/>
        <v>0</v>
      </c>
      <c r="S172" s="346">
        <f t="shared" si="19"/>
        <v>0</v>
      </c>
      <c r="T172" s="346">
        <f t="shared" si="20"/>
        <v>0</v>
      </c>
    </row>
    <row r="173" spans="1:20" ht="18" customHeight="1" outlineLevel="1">
      <c r="A173" t="s">
        <v>243</v>
      </c>
      <c r="B173" s="627"/>
      <c r="C173" s="379">
        <v>46098</v>
      </c>
      <c r="D173" s="380" t="s">
        <v>101</v>
      </c>
      <c r="E173" s="380" t="s">
        <v>211</v>
      </c>
      <c r="F173" s="380" t="s">
        <v>209</v>
      </c>
      <c r="G173" s="380" t="s">
        <v>211</v>
      </c>
      <c r="H173" s="512">
        <v>200</v>
      </c>
      <c r="I173" s="380" t="s">
        <v>216</v>
      </c>
      <c r="J173" s="355"/>
      <c r="K173" s="355"/>
      <c r="L173" s="355"/>
      <c r="N173" s="346">
        <f t="shared" si="14"/>
        <v>0</v>
      </c>
      <c r="O173" s="346">
        <f t="shared" si="15"/>
        <v>0</v>
      </c>
      <c r="P173" s="346">
        <f t="shared" si="16"/>
        <v>0</v>
      </c>
      <c r="Q173" s="346">
        <f t="shared" si="17"/>
        <v>0</v>
      </c>
      <c r="R173" s="346">
        <f t="shared" si="18"/>
        <v>0</v>
      </c>
      <c r="S173" s="346">
        <f t="shared" si="19"/>
        <v>200</v>
      </c>
      <c r="T173" s="346">
        <f t="shared" si="20"/>
        <v>0</v>
      </c>
    </row>
    <row r="174" spans="1:20" ht="18" customHeight="1" outlineLevel="1">
      <c r="A174" t="s">
        <v>243</v>
      </c>
      <c r="B174" s="627"/>
      <c r="C174" s="379">
        <v>46098</v>
      </c>
      <c r="D174" s="380" t="s">
        <v>107</v>
      </c>
      <c r="E174" s="380" t="s">
        <v>478</v>
      </c>
      <c r="F174" s="380" t="s">
        <v>209</v>
      </c>
      <c r="G174" s="380" t="s">
        <v>549</v>
      </c>
      <c r="H174" s="381">
        <v>339</v>
      </c>
      <c r="I174" s="380" t="s">
        <v>224</v>
      </c>
      <c r="J174" s="355"/>
      <c r="K174" s="355"/>
      <c r="L174" s="355"/>
      <c r="N174" s="346">
        <f t="shared" si="14"/>
        <v>0</v>
      </c>
      <c r="O174" s="346">
        <f t="shared" si="15"/>
        <v>0</v>
      </c>
      <c r="P174" s="346">
        <f t="shared" si="16"/>
        <v>339</v>
      </c>
      <c r="Q174" s="346">
        <f t="shared" si="17"/>
        <v>0</v>
      </c>
      <c r="R174" s="346">
        <f t="shared" si="18"/>
        <v>0</v>
      </c>
      <c r="S174" s="346">
        <f t="shared" si="19"/>
        <v>0</v>
      </c>
      <c r="T174" s="346">
        <f t="shared" si="20"/>
        <v>0</v>
      </c>
    </row>
    <row r="175" spans="1:20" ht="18" customHeight="1" outlineLevel="1">
      <c r="A175" t="s">
        <v>243</v>
      </c>
      <c r="B175" s="627"/>
      <c r="C175" s="379">
        <v>46099</v>
      </c>
      <c r="D175" s="380" t="s">
        <v>102</v>
      </c>
      <c r="E175" s="380" t="s">
        <v>218</v>
      </c>
      <c r="F175" s="380" t="s">
        <v>209</v>
      </c>
      <c r="G175" s="380" t="s">
        <v>212</v>
      </c>
      <c r="H175" s="512">
        <v>15</v>
      </c>
      <c r="I175" s="380" t="s">
        <v>218</v>
      </c>
      <c r="J175" s="355"/>
      <c r="K175" s="355"/>
      <c r="L175" s="355"/>
      <c r="N175" s="346">
        <f t="shared" si="14"/>
        <v>0</v>
      </c>
      <c r="O175" s="346">
        <f t="shared" si="15"/>
        <v>0</v>
      </c>
      <c r="P175" s="346">
        <f t="shared" si="16"/>
        <v>0</v>
      </c>
      <c r="Q175" s="346">
        <f t="shared" si="17"/>
        <v>15</v>
      </c>
      <c r="R175" s="346">
        <f t="shared" si="18"/>
        <v>0</v>
      </c>
      <c r="S175" s="346">
        <f t="shared" si="19"/>
        <v>0</v>
      </c>
      <c r="T175" s="346">
        <f t="shared" si="20"/>
        <v>0</v>
      </c>
    </row>
    <row r="176" spans="1:20" ht="18" customHeight="1" outlineLevel="1">
      <c r="A176" t="s">
        <v>243</v>
      </c>
      <c r="B176" s="627"/>
      <c r="C176" s="426">
        <v>46099</v>
      </c>
      <c r="D176" s="380" t="s">
        <v>245</v>
      </c>
      <c r="E176" s="380" t="s">
        <v>504</v>
      </c>
      <c r="F176" s="380" t="s">
        <v>209</v>
      </c>
      <c r="G176" s="380" t="s">
        <v>222</v>
      </c>
      <c r="H176" s="512">
        <v>0.33</v>
      </c>
      <c r="I176" s="380" t="s">
        <v>246</v>
      </c>
      <c r="J176" s="355"/>
      <c r="K176" s="355"/>
      <c r="L176" s="355"/>
      <c r="N176" s="346">
        <f t="shared" si="14"/>
        <v>0.33</v>
      </c>
      <c r="O176" s="346">
        <f t="shared" si="15"/>
        <v>0</v>
      </c>
      <c r="P176" s="346">
        <f t="shared" si="16"/>
        <v>0</v>
      </c>
      <c r="Q176" s="346">
        <f t="shared" si="17"/>
        <v>0</v>
      </c>
      <c r="R176" s="346">
        <f t="shared" si="18"/>
        <v>0</v>
      </c>
      <c r="S176" s="346">
        <f t="shared" si="19"/>
        <v>0</v>
      </c>
      <c r="T176" s="346">
        <f t="shared" si="20"/>
        <v>0</v>
      </c>
    </row>
    <row r="177" spans="1:20" ht="18" customHeight="1" outlineLevel="1">
      <c r="A177" t="s">
        <v>243</v>
      </c>
      <c r="B177" s="627"/>
      <c r="C177" s="426">
        <v>46099</v>
      </c>
      <c r="D177" s="380" t="s">
        <v>248</v>
      </c>
      <c r="E177" s="380" t="s">
        <v>504</v>
      </c>
      <c r="F177" s="380" t="s">
        <v>209</v>
      </c>
      <c r="G177" s="380" t="s">
        <v>222</v>
      </c>
      <c r="H177" s="512">
        <v>12.13</v>
      </c>
      <c r="I177" s="380" t="s">
        <v>517</v>
      </c>
      <c r="J177" s="355"/>
      <c r="K177" s="355"/>
      <c r="L177" s="355"/>
      <c r="N177" s="346">
        <f t="shared" si="14"/>
        <v>12.13</v>
      </c>
      <c r="O177" s="346">
        <f t="shared" si="15"/>
        <v>0</v>
      </c>
      <c r="P177" s="346">
        <f t="shared" si="16"/>
        <v>0</v>
      </c>
      <c r="Q177" s="346">
        <f t="shared" si="17"/>
        <v>0</v>
      </c>
      <c r="R177" s="346">
        <f t="shared" si="18"/>
        <v>0</v>
      </c>
      <c r="S177" s="346">
        <f t="shared" si="19"/>
        <v>0</v>
      </c>
      <c r="T177" s="346">
        <f t="shared" si="20"/>
        <v>0</v>
      </c>
    </row>
    <row r="178" spans="1:20" ht="18" customHeight="1" outlineLevel="1">
      <c r="A178" t="s">
        <v>243</v>
      </c>
      <c r="B178" s="627"/>
      <c r="C178" s="426">
        <v>46100</v>
      </c>
      <c r="D178" s="380" t="s">
        <v>247</v>
      </c>
      <c r="E178" s="380" t="s">
        <v>504</v>
      </c>
      <c r="F178" s="380" t="s">
        <v>209</v>
      </c>
      <c r="G178" s="380" t="s">
        <v>222</v>
      </c>
      <c r="H178" s="512">
        <v>5.7</v>
      </c>
      <c r="I178" s="380" t="s">
        <v>517</v>
      </c>
      <c r="J178" s="355"/>
      <c r="K178" s="355"/>
      <c r="L178" s="355"/>
      <c r="N178" s="346">
        <f t="shared" si="14"/>
        <v>5.7</v>
      </c>
      <c r="O178" s="346">
        <f t="shared" si="15"/>
        <v>0</v>
      </c>
      <c r="P178" s="346">
        <f t="shared" si="16"/>
        <v>0</v>
      </c>
      <c r="Q178" s="346">
        <f t="shared" si="17"/>
        <v>0</v>
      </c>
      <c r="R178" s="346">
        <f t="shared" si="18"/>
        <v>0</v>
      </c>
      <c r="S178" s="346">
        <f t="shared" si="19"/>
        <v>0</v>
      </c>
      <c r="T178" s="346">
        <f t="shared" si="20"/>
        <v>0</v>
      </c>
    </row>
    <row r="179" spans="1:20" ht="18" customHeight="1" outlineLevel="1">
      <c r="A179" t="s">
        <v>243</v>
      </c>
      <c r="B179" s="627"/>
      <c r="C179" s="426">
        <v>46101</v>
      </c>
      <c r="D179" s="380" t="s">
        <v>249</v>
      </c>
      <c r="E179" s="380" t="s">
        <v>504</v>
      </c>
      <c r="F179" s="380" t="s">
        <v>209</v>
      </c>
      <c r="G179" s="380" t="s">
        <v>222</v>
      </c>
      <c r="H179" s="512">
        <v>25.5</v>
      </c>
      <c r="I179" s="380" t="s">
        <v>517</v>
      </c>
      <c r="J179" s="355"/>
      <c r="K179" s="355"/>
      <c r="L179" s="355"/>
      <c r="N179" s="346">
        <f t="shared" si="14"/>
        <v>25.5</v>
      </c>
      <c r="O179" s="346">
        <f t="shared" si="15"/>
        <v>0</v>
      </c>
      <c r="P179" s="346">
        <f t="shared" si="16"/>
        <v>0</v>
      </c>
      <c r="Q179" s="346">
        <f t="shared" si="17"/>
        <v>0</v>
      </c>
      <c r="R179" s="346">
        <f t="shared" si="18"/>
        <v>0</v>
      </c>
      <c r="S179" s="346">
        <f t="shared" si="19"/>
        <v>0</v>
      </c>
      <c r="T179" s="346">
        <f t="shared" si="20"/>
        <v>0</v>
      </c>
    </row>
    <row r="180" spans="1:20" ht="18" customHeight="1" outlineLevel="1">
      <c r="A180" t="s">
        <v>243</v>
      </c>
      <c r="B180" s="627"/>
      <c r="C180" s="426">
        <v>46101</v>
      </c>
      <c r="D180" s="380" t="s">
        <v>155</v>
      </c>
      <c r="E180" s="380" t="s">
        <v>503</v>
      </c>
      <c r="F180" s="380" t="s">
        <v>209</v>
      </c>
      <c r="G180" s="380" t="s">
        <v>222</v>
      </c>
      <c r="H180" s="512">
        <v>22.99</v>
      </c>
      <c r="I180" s="380" t="s">
        <v>44</v>
      </c>
      <c r="J180" s="355"/>
      <c r="K180" s="355"/>
      <c r="L180" s="355"/>
      <c r="N180" s="346">
        <f t="shared" si="14"/>
        <v>22.99</v>
      </c>
      <c r="O180" s="346">
        <f t="shared" si="15"/>
        <v>0</v>
      </c>
      <c r="P180" s="346">
        <f t="shared" si="16"/>
        <v>0</v>
      </c>
      <c r="Q180" s="346">
        <f t="shared" si="17"/>
        <v>0</v>
      </c>
      <c r="R180" s="346">
        <f t="shared" si="18"/>
        <v>0</v>
      </c>
      <c r="S180" s="346">
        <f t="shared" si="19"/>
        <v>0</v>
      </c>
      <c r="T180" s="346">
        <f t="shared" si="20"/>
        <v>0</v>
      </c>
    </row>
    <row r="181" spans="1:20" ht="18" customHeight="1">
      <c r="A181" t="s">
        <v>243</v>
      </c>
      <c r="B181" s="627"/>
      <c r="C181" s="426"/>
      <c r="D181" s="380"/>
      <c r="E181" s="380"/>
      <c r="F181" s="380"/>
      <c r="G181" s="380"/>
      <c r="H181" s="512"/>
      <c r="I181" s="380"/>
      <c r="J181" s="355"/>
      <c r="K181" s="355"/>
      <c r="L181" s="355"/>
      <c r="N181" s="346">
        <f t="shared" si="14"/>
        <v>0</v>
      </c>
      <c r="O181" s="346">
        <f t="shared" si="15"/>
        <v>0</v>
      </c>
      <c r="P181" s="346">
        <f t="shared" si="16"/>
        <v>0</v>
      </c>
      <c r="Q181" s="346">
        <f t="shared" si="17"/>
        <v>0</v>
      </c>
      <c r="R181" s="346">
        <f t="shared" si="18"/>
        <v>0</v>
      </c>
      <c r="S181" s="346">
        <f t="shared" si="19"/>
        <v>0</v>
      </c>
      <c r="T181" s="346">
        <f t="shared" si="20"/>
        <v>0</v>
      </c>
    </row>
    <row r="182" spans="1:20" ht="18" customHeight="1">
      <c r="A182" t="s">
        <v>243</v>
      </c>
      <c r="B182" s="620" t="s">
        <v>254</v>
      </c>
      <c r="C182" s="612"/>
      <c r="D182" s="612"/>
      <c r="E182" s="612"/>
      <c r="F182" s="612"/>
      <c r="G182" s="613"/>
      <c r="H182" s="423">
        <f>SUMIF(E171:E180,"Income",H171:H180)</f>
        <v>1057.92</v>
      </c>
      <c r="I182" s="396"/>
      <c r="J182" s="355"/>
      <c r="K182" s="355"/>
      <c r="L182" s="355"/>
      <c r="N182" s="346">
        <f t="shared" si="14"/>
        <v>0</v>
      </c>
      <c r="O182" s="346">
        <f t="shared" si="15"/>
        <v>0</v>
      </c>
      <c r="P182" s="346">
        <f t="shared" si="16"/>
        <v>0</v>
      </c>
      <c r="Q182" s="346">
        <f t="shared" si="17"/>
        <v>0</v>
      </c>
      <c r="R182" s="346">
        <f t="shared" si="18"/>
        <v>0</v>
      </c>
      <c r="S182" s="346">
        <f t="shared" si="19"/>
        <v>0</v>
      </c>
      <c r="T182" s="346">
        <f t="shared" si="20"/>
        <v>0</v>
      </c>
    </row>
    <row r="183" spans="1:20" ht="18" customHeight="1">
      <c r="A183" t="s">
        <v>243</v>
      </c>
      <c r="B183" s="445"/>
      <c r="C183" s="446"/>
      <c r="D183" s="446"/>
      <c r="E183" s="446"/>
      <c r="F183" s="615" t="s">
        <v>354</v>
      </c>
      <c r="G183" s="613"/>
      <c r="H183" s="430">
        <f>SUMIF(E171:E180,"Joint Account",H171:H180)</f>
        <v>200</v>
      </c>
      <c r="I183" s="400"/>
      <c r="J183" s="355"/>
      <c r="K183" s="355"/>
      <c r="L183" s="355"/>
      <c r="N183" s="346">
        <f t="shared" si="14"/>
        <v>0</v>
      </c>
      <c r="O183" s="346">
        <f t="shared" si="15"/>
        <v>0</v>
      </c>
      <c r="P183" s="346">
        <f t="shared" si="16"/>
        <v>0</v>
      </c>
      <c r="Q183" s="346">
        <f t="shared" si="17"/>
        <v>0</v>
      </c>
      <c r="R183" s="346">
        <f t="shared" si="18"/>
        <v>0</v>
      </c>
      <c r="S183" s="346">
        <f t="shared" si="19"/>
        <v>0</v>
      </c>
      <c r="T183" s="346">
        <f t="shared" si="20"/>
        <v>0</v>
      </c>
    </row>
    <row r="184" spans="1:20" ht="18" customHeight="1">
      <c r="A184" t="s">
        <v>243</v>
      </c>
      <c r="B184" s="611" t="s">
        <v>226</v>
      </c>
      <c r="C184" s="612"/>
      <c r="D184" s="612"/>
      <c r="E184" s="612"/>
      <c r="F184" s="612"/>
      <c r="G184" s="613"/>
      <c r="H184" s="450">
        <f>SUMIF(E171:E180,"Recurring Expense",H171:H180)</f>
        <v>172.99</v>
      </c>
      <c r="I184" s="406"/>
      <c r="J184" s="60"/>
      <c r="K184" s="60"/>
      <c r="L184" s="60"/>
      <c r="N184" s="346">
        <f t="shared" si="14"/>
        <v>0</v>
      </c>
      <c r="O184" s="346">
        <f t="shared" si="15"/>
        <v>0</v>
      </c>
      <c r="P184" s="346">
        <f t="shared" si="16"/>
        <v>0</v>
      </c>
      <c r="Q184" s="346">
        <f t="shared" si="17"/>
        <v>0</v>
      </c>
      <c r="R184" s="346">
        <f t="shared" si="18"/>
        <v>0</v>
      </c>
      <c r="S184" s="346">
        <f t="shared" si="19"/>
        <v>0</v>
      </c>
      <c r="T184" s="346">
        <f t="shared" si="20"/>
        <v>0</v>
      </c>
    </row>
    <row r="185" spans="1:20" ht="18" customHeight="1">
      <c r="A185" t="s">
        <v>243</v>
      </c>
      <c r="B185" s="611" t="s">
        <v>227</v>
      </c>
      <c r="C185" s="612"/>
      <c r="D185" s="612"/>
      <c r="E185" s="612"/>
      <c r="F185" s="612"/>
      <c r="G185" s="613"/>
      <c r="H185" s="450">
        <f>SUMIF(E171:E180,"Investment",H171:H180)</f>
        <v>15</v>
      </c>
      <c r="I185" s="406"/>
      <c r="J185" s="60"/>
      <c r="K185" s="60"/>
      <c r="L185" s="60"/>
      <c r="N185" s="346">
        <f t="shared" si="14"/>
        <v>0</v>
      </c>
      <c r="O185" s="346">
        <f t="shared" si="15"/>
        <v>0</v>
      </c>
      <c r="P185" s="346">
        <f t="shared" si="16"/>
        <v>0</v>
      </c>
      <c r="Q185" s="346">
        <f t="shared" si="17"/>
        <v>0</v>
      </c>
      <c r="R185" s="346">
        <f t="shared" si="18"/>
        <v>0</v>
      </c>
      <c r="S185" s="346">
        <f t="shared" si="19"/>
        <v>0</v>
      </c>
      <c r="T185" s="346">
        <f t="shared" si="20"/>
        <v>0</v>
      </c>
    </row>
    <row r="186" spans="1:20" ht="18" customHeight="1">
      <c r="A186" t="s">
        <v>243</v>
      </c>
      <c r="B186" s="447"/>
      <c r="C186" s="448"/>
      <c r="D186" s="448"/>
      <c r="E186" s="448"/>
      <c r="F186" s="448"/>
      <c r="G186" s="449" t="s">
        <v>250</v>
      </c>
      <c r="H186" s="450">
        <f>SUMIF(E171:E180,"Saving Allocation",H171:H180)</f>
        <v>339</v>
      </c>
      <c r="I186" s="406"/>
      <c r="J186" s="60"/>
      <c r="K186" s="60"/>
      <c r="L186" s="60"/>
      <c r="N186" s="346">
        <f t="shared" si="14"/>
        <v>0</v>
      </c>
      <c r="O186" s="346">
        <f t="shared" si="15"/>
        <v>0</v>
      </c>
      <c r="P186" s="346">
        <f t="shared" si="16"/>
        <v>0</v>
      </c>
      <c r="Q186" s="346">
        <f t="shared" si="17"/>
        <v>0</v>
      </c>
      <c r="R186" s="346">
        <f t="shared" si="18"/>
        <v>0</v>
      </c>
      <c r="S186" s="346">
        <f t="shared" si="19"/>
        <v>0</v>
      </c>
      <c r="T186" s="346">
        <f t="shared" si="20"/>
        <v>0</v>
      </c>
    </row>
    <row r="187" spans="1:20" ht="18" customHeight="1">
      <c r="A187" t="s">
        <v>243</v>
      </c>
      <c r="B187" s="611" t="s">
        <v>251</v>
      </c>
      <c r="C187" s="612"/>
      <c r="D187" s="612"/>
      <c r="E187" s="612"/>
      <c r="F187" s="612"/>
      <c r="G187" s="613"/>
      <c r="H187" s="450">
        <f>SUMIF(E171:E180,"Personal Expense",H171:H180)</f>
        <v>43.66</v>
      </c>
      <c r="I187" s="406"/>
      <c r="J187" s="60"/>
      <c r="K187" s="60"/>
      <c r="L187" s="60"/>
      <c r="N187" s="346">
        <f t="shared" si="14"/>
        <v>0</v>
      </c>
      <c r="O187" s="346">
        <f t="shared" si="15"/>
        <v>0</v>
      </c>
      <c r="P187" s="346">
        <f t="shared" si="16"/>
        <v>0</v>
      </c>
      <c r="Q187" s="346">
        <f t="shared" si="17"/>
        <v>0</v>
      </c>
      <c r="R187" s="346">
        <f t="shared" si="18"/>
        <v>0</v>
      </c>
      <c r="S187" s="346">
        <f t="shared" si="19"/>
        <v>0</v>
      </c>
      <c r="T187" s="346">
        <f t="shared" si="20"/>
        <v>0</v>
      </c>
    </row>
    <row r="188" spans="1:20" ht="18" customHeight="1">
      <c r="A188" t="s">
        <v>243</v>
      </c>
      <c r="B188" s="415"/>
      <c r="C188" s="416"/>
      <c r="D188" s="416"/>
      <c r="E188" s="416"/>
      <c r="F188" s="416"/>
      <c r="G188" s="451" t="s">
        <v>253</v>
      </c>
      <c r="H188" s="413">
        <f>H184+H187+H183+H185+SUMIF(E171:E180,"Debt Repayment",H171:H180)+H186</f>
        <v>770.65</v>
      </c>
      <c r="I188" s="414"/>
      <c r="J188" s="60"/>
      <c r="K188" s="60"/>
      <c r="L188" s="60"/>
      <c r="N188" s="346">
        <f t="shared" si="14"/>
        <v>0</v>
      </c>
      <c r="O188" s="346">
        <f t="shared" si="15"/>
        <v>0</v>
      </c>
      <c r="P188" s="346">
        <f t="shared" si="16"/>
        <v>0</v>
      </c>
      <c r="Q188" s="346">
        <f t="shared" si="17"/>
        <v>0</v>
      </c>
      <c r="R188" s="346">
        <f t="shared" si="18"/>
        <v>0</v>
      </c>
      <c r="S188" s="346">
        <f t="shared" si="19"/>
        <v>0</v>
      </c>
      <c r="T188" s="346">
        <f t="shared" si="20"/>
        <v>0</v>
      </c>
    </row>
    <row r="189" spans="1:20" ht="18" customHeight="1">
      <c r="A189" t="s">
        <v>243</v>
      </c>
      <c r="B189" s="580"/>
      <c r="C189" s="581"/>
      <c r="D189" s="581"/>
      <c r="E189" s="581"/>
      <c r="F189" s="581"/>
      <c r="G189" s="581" t="s">
        <v>497</v>
      </c>
      <c r="H189" s="578">
        <f>H182-(H184+H187)-H183-H185-SUMIF(E171:E180,"Debt Repayment",H171:H180)-H186</f>
        <v>287.2700000000001</v>
      </c>
      <c r="I189" s="414"/>
      <c r="J189" s="60"/>
      <c r="K189" s="60"/>
      <c r="L189" s="60"/>
      <c r="N189" s="346">
        <f t="shared" si="14"/>
        <v>0</v>
      </c>
      <c r="O189" s="346">
        <f t="shared" si="15"/>
        <v>0</v>
      </c>
      <c r="P189" s="346">
        <f t="shared" si="16"/>
        <v>0</v>
      </c>
      <c r="Q189" s="346">
        <f t="shared" si="17"/>
        <v>0</v>
      </c>
      <c r="R189" s="346">
        <f t="shared" si="18"/>
        <v>0</v>
      </c>
      <c r="S189" s="346">
        <f t="shared" si="19"/>
        <v>0</v>
      </c>
      <c r="T189" s="346">
        <f t="shared" si="20"/>
        <v>0</v>
      </c>
    </row>
    <row r="190" spans="1:20" ht="18" customHeight="1">
      <c r="B190" s="452"/>
      <c r="C190" s="453"/>
      <c r="D190" s="453"/>
      <c r="E190" s="453"/>
      <c r="F190" s="453"/>
      <c r="G190" s="453" t="s">
        <v>554</v>
      </c>
      <c r="H190" s="424">
        <f>H189+SUMIFS($H:$H,$A:$A,A189,$E:$E,"Saving Allocation")</f>
        <v>626.2700000000001</v>
      </c>
      <c r="I190" s="418"/>
      <c r="J190" s="60"/>
      <c r="K190" s="60"/>
      <c r="L190" s="60"/>
      <c r="N190" s="346"/>
      <c r="O190" s="346"/>
      <c r="P190" s="346"/>
      <c r="Q190" s="346"/>
      <c r="R190" s="346"/>
      <c r="S190" s="346"/>
      <c r="T190" s="346"/>
    </row>
    <row r="191" spans="1:20" ht="18" customHeight="1">
      <c r="A191" t="s">
        <v>243</v>
      </c>
      <c r="B191" s="498"/>
      <c r="C191" s="425"/>
      <c r="D191" s="425"/>
      <c r="E191" s="425"/>
      <c r="F191" s="425"/>
      <c r="G191" s="425"/>
      <c r="H191" s="419"/>
      <c r="I191" s="420"/>
      <c r="J191" s="60"/>
      <c r="K191" s="60"/>
      <c r="L191" s="60"/>
      <c r="N191" s="346">
        <f t="shared" si="14"/>
        <v>0</v>
      </c>
      <c r="O191" s="346">
        <f t="shared" si="15"/>
        <v>0</v>
      </c>
      <c r="P191" s="346">
        <f t="shared" si="16"/>
        <v>0</v>
      </c>
      <c r="Q191" s="346">
        <f t="shared" si="17"/>
        <v>0</v>
      </c>
      <c r="R191" s="346">
        <f t="shared" si="18"/>
        <v>0</v>
      </c>
      <c r="S191" s="346">
        <f t="shared" si="19"/>
        <v>0</v>
      </c>
      <c r="T191" s="346">
        <f t="shared" si="20"/>
        <v>0</v>
      </c>
    </row>
    <row r="192" spans="1:20" ht="18" customHeight="1" outlineLevel="1">
      <c r="A192" t="s">
        <v>255</v>
      </c>
      <c r="B192" s="623" t="s">
        <v>255</v>
      </c>
      <c r="C192" s="443">
        <v>46105</v>
      </c>
      <c r="D192" s="440" t="s">
        <v>204</v>
      </c>
      <c r="E192" s="440" t="s">
        <v>207</v>
      </c>
      <c r="F192" s="440" t="s">
        <v>208</v>
      </c>
      <c r="G192" s="440" t="s">
        <v>209</v>
      </c>
      <c r="H192" s="378">
        <v>1264.5</v>
      </c>
      <c r="I192" s="440" t="s">
        <v>215</v>
      </c>
      <c r="J192" s="359"/>
      <c r="K192" s="359"/>
      <c r="L192" s="359"/>
      <c r="N192" s="346">
        <f t="shared" si="14"/>
        <v>0</v>
      </c>
      <c r="O192" s="346">
        <f t="shared" si="15"/>
        <v>0</v>
      </c>
      <c r="P192" s="346">
        <f t="shared" si="16"/>
        <v>0</v>
      </c>
      <c r="Q192" s="346">
        <f t="shared" si="17"/>
        <v>0</v>
      </c>
      <c r="R192" s="346">
        <f t="shared" si="18"/>
        <v>0</v>
      </c>
      <c r="S192" s="346">
        <f t="shared" si="19"/>
        <v>0</v>
      </c>
      <c r="T192" s="346">
        <f t="shared" si="20"/>
        <v>1264.5</v>
      </c>
    </row>
    <row r="193" spans="1:20" ht="18" customHeight="1" outlineLevel="1">
      <c r="A193" t="s">
        <v>255</v>
      </c>
      <c r="B193" s="627"/>
      <c r="C193" s="379">
        <v>46105</v>
      </c>
      <c r="D193" s="380" t="s">
        <v>100</v>
      </c>
      <c r="E193" s="380" t="s">
        <v>503</v>
      </c>
      <c r="F193" s="380" t="s">
        <v>209</v>
      </c>
      <c r="G193" s="380" t="s">
        <v>210</v>
      </c>
      <c r="H193" s="512">
        <v>150</v>
      </c>
      <c r="I193" s="380" t="s">
        <v>34</v>
      </c>
      <c r="J193" s="355"/>
      <c r="K193" s="355"/>
      <c r="L193" s="355"/>
      <c r="N193" s="346">
        <f t="shared" si="14"/>
        <v>150</v>
      </c>
      <c r="O193" s="346">
        <f t="shared" si="15"/>
        <v>0</v>
      </c>
      <c r="P193" s="346">
        <f t="shared" si="16"/>
        <v>0</v>
      </c>
      <c r="Q193" s="346">
        <f t="shared" si="17"/>
        <v>0</v>
      </c>
      <c r="R193" s="346">
        <f t="shared" si="18"/>
        <v>0</v>
      </c>
      <c r="S193" s="346">
        <f t="shared" si="19"/>
        <v>0</v>
      </c>
      <c r="T193" s="346">
        <f t="shared" si="20"/>
        <v>0</v>
      </c>
    </row>
    <row r="194" spans="1:20" ht="18" customHeight="1" outlineLevel="1">
      <c r="A194" t="s">
        <v>255</v>
      </c>
      <c r="B194" s="627"/>
      <c r="C194" s="379">
        <v>46105</v>
      </c>
      <c r="D194" s="380" t="s">
        <v>101</v>
      </c>
      <c r="E194" s="380" t="s">
        <v>211</v>
      </c>
      <c r="F194" s="380" t="s">
        <v>209</v>
      </c>
      <c r="G194" s="380" t="s">
        <v>211</v>
      </c>
      <c r="H194" s="512">
        <v>200</v>
      </c>
      <c r="I194" s="380" t="s">
        <v>216</v>
      </c>
      <c r="J194" s="355"/>
      <c r="K194" s="355"/>
      <c r="L194" s="355"/>
      <c r="N194" s="346">
        <f t="shared" si="14"/>
        <v>0</v>
      </c>
      <c r="O194" s="346">
        <f t="shared" si="15"/>
        <v>0</v>
      </c>
      <c r="P194" s="346">
        <f t="shared" si="16"/>
        <v>0</v>
      </c>
      <c r="Q194" s="346">
        <f t="shared" si="17"/>
        <v>0</v>
      </c>
      <c r="R194" s="346">
        <f t="shared" si="18"/>
        <v>0</v>
      </c>
      <c r="S194" s="346">
        <f t="shared" si="19"/>
        <v>200</v>
      </c>
      <c r="T194" s="346">
        <f t="shared" si="20"/>
        <v>0</v>
      </c>
    </row>
    <row r="195" spans="1:20" ht="18" customHeight="1" outlineLevel="1">
      <c r="A195" t="s">
        <v>255</v>
      </c>
      <c r="B195" s="627"/>
      <c r="C195" s="379">
        <v>46105</v>
      </c>
      <c r="D195" s="380" t="s">
        <v>102</v>
      </c>
      <c r="E195" s="380" t="s">
        <v>218</v>
      </c>
      <c r="F195" s="380" t="s">
        <v>209</v>
      </c>
      <c r="G195" s="380" t="s">
        <v>212</v>
      </c>
      <c r="H195" s="512">
        <v>15</v>
      </c>
      <c r="I195" s="380" t="s">
        <v>218</v>
      </c>
      <c r="J195" s="355"/>
      <c r="K195" s="355"/>
      <c r="L195" s="355"/>
      <c r="N195" s="346">
        <f t="shared" si="14"/>
        <v>0</v>
      </c>
      <c r="O195" s="346">
        <f t="shared" si="15"/>
        <v>0</v>
      </c>
      <c r="P195" s="346">
        <f t="shared" si="16"/>
        <v>0</v>
      </c>
      <c r="Q195" s="346">
        <f t="shared" si="17"/>
        <v>15</v>
      </c>
      <c r="R195" s="346">
        <f t="shared" si="18"/>
        <v>0</v>
      </c>
      <c r="S195" s="346">
        <f t="shared" si="19"/>
        <v>0</v>
      </c>
      <c r="T195" s="346">
        <f t="shared" si="20"/>
        <v>0</v>
      </c>
    </row>
    <row r="196" spans="1:20" ht="18" customHeight="1" outlineLevel="1">
      <c r="A196" t="s">
        <v>255</v>
      </c>
      <c r="B196" s="627"/>
      <c r="C196" s="379">
        <v>46105</v>
      </c>
      <c r="D196" s="380" t="s">
        <v>107</v>
      </c>
      <c r="E196" s="380" t="s">
        <v>478</v>
      </c>
      <c r="F196" s="380" t="s">
        <v>209</v>
      </c>
      <c r="G196" s="380" t="s">
        <v>549</v>
      </c>
      <c r="H196" s="381">
        <v>575</v>
      </c>
      <c r="I196" s="380" t="s">
        <v>224</v>
      </c>
      <c r="J196" s="355"/>
      <c r="K196" s="355"/>
      <c r="L196" s="355"/>
      <c r="N196" s="346">
        <f t="shared" si="14"/>
        <v>0</v>
      </c>
      <c r="O196" s="346">
        <f t="shared" si="15"/>
        <v>0</v>
      </c>
      <c r="P196" s="346">
        <f t="shared" si="16"/>
        <v>575</v>
      </c>
      <c r="Q196" s="346">
        <f t="shared" si="17"/>
        <v>0</v>
      </c>
      <c r="R196" s="346">
        <f t="shared" si="18"/>
        <v>0</v>
      </c>
      <c r="S196" s="346">
        <f t="shared" si="19"/>
        <v>0</v>
      </c>
      <c r="T196" s="346">
        <f t="shared" si="20"/>
        <v>0</v>
      </c>
    </row>
    <row r="197" spans="1:20" ht="18" customHeight="1" outlineLevel="1">
      <c r="A197" t="s">
        <v>255</v>
      </c>
      <c r="B197" s="627"/>
      <c r="C197" s="379">
        <v>46105</v>
      </c>
      <c r="D197" s="380" t="s">
        <v>257</v>
      </c>
      <c r="E197" s="380" t="s">
        <v>478</v>
      </c>
      <c r="F197" s="380" t="s">
        <v>209</v>
      </c>
      <c r="G197" s="380" t="s">
        <v>353</v>
      </c>
      <c r="H197" s="512">
        <v>70</v>
      </c>
      <c r="I197" s="380" t="s">
        <v>224</v>
      </c>
      <c r="J197" s="355"/>
      <c r="K197" s="355"/>
      <c r="L197" s="355"/>
      <c r="N197" s="346">
        <f t="shared" si="14"/>
        <v>0</v>
      </c>
      <c r="O197" s="346">
        <f t="shared" si="15"/>
        <v>0</v>
      </c>
      <c r="P197" s="346">
        <f t="shared" si="16"/>
        <v>70</v>
      </c>
      <c r="Q197" s="346">
        <f t="shared" si="17"/>
        <v>0</v>
      </c>
      <c r="R197" s="346">
        <f t="shared" si="18"/>
        <v>0</v>
      </c>
      <c r="S197" s="346">
        <f t="shared" si="19"/>
        <v>0</v>
      </c>
      <c r="T197" s="346">
        <f t="shared" si="20"/>
        <v>0</v>
      </c>
    </row>
    <row r="198" spans="1:20" ht="18" customHeight="1" outlineLevel="1">
      <c r="A198" t="s">
        <v>255</v>
      </c>
      <c r="B198" s="627"/>
      <c r="C198" s="426">
        <v>46105</v>
      </c>
      <c r="D198" s="380" t="s">
        <v>294</v>
      </c>
      <c r="E198" s="380" t="s">
        <v>504</v>
      </c>
      <c r="F198" s="380" t="s">
        <v>209</v>
      </c>
      <c r="G198" s="380" t="s">
        <v>222</v>
      </c>
      <c r="H198" s="512">
        <v>91.58</v>
      </c>
      <c r="I198" s="380" t="s">
        <v>220</v>
      </c>
      <c r="J198" s="355"/>
      <c r="K198" s="355"/>
      <c r="L198" s="355"/>
      <c r="N198" s="346">
        <f t="shared" si="14"/>
        <v>91.58</v>
      </c>
      <c r="O198" s="346">
        <f t="shared" si="15"/>
        <v>0</v>
      </c>
      <c r="P198" s="346">
        <f t="shared" si="16"/>
        <v>0</v>
      </c>
      <c r="Q198" s="346">
        <f t="shared" si="17"/>
        <v>0</v>
      </c>
      <c r="R198" s="346">
        <f t="shared" si="18"/>
        <v>0</v>
      </c>
      <c r="S198" s="346">
        <f t="shared" si="19"/>
        <v>0</v>
      </c>
      <c r="T198" s="346">
        <f t="shared" si="20"/>
        <v>0</v>
      </c>
    </row>
    <row r="199" spans="1:20" ht="18" customHeight="1" outlineLevel="1">
      <c r="A199" t="s">
        <v>255</v>
      </c>
      <c r="B199" s="627"/>
      <c r="C199" s="426">
        <v>46105</v>
      </c>
      <c r="D199" s="380" t="s">
        <v>295</v>
      </c>
      <c r="E199" s="380" t="s">
        <v>503</v>
      </c>
      <c r="F199" s="380" t="s">
        <v>209</v>
      </c>
      <c r="G199" s="380" t="s">
        <v>222</v>
      </c>
      <c r="H199" s="512">
        <v>14.95</v>
      </c>
      <c r="I199" s="380" t="s">
        <v>44</v>
      </c>
      <c r="J199" s="355"/>
      <c r="K199" s="355"/>
      <c r="L199" s="355"/>
      <c r="N199" s="346">
        <f t="shared" si="14"/>
        <v>14.95</v>
      </c>
      <c r="O199" s="346">
        <f t="shared" si="15"/>
        <v>0</v>
      </c>
      <c r="P199" s="346">
        <f t="shared" si="16"/>
        <v>0</v>
      </c>
      <c r="Q199" s="346">
        <f t="shared" si="17"/>
        <v>0</v>
      </c>
      <c r="R199" s="346">
        <f t="shared" si="18"/>
        <v>0</v>
      </c>
      <c r="S199" s="346">
        <f t="shared" si="19"/>
        <v>0</v>
      </c>
      <c r="T199" s="346">
        <f t="shared" si="20"/>
        <v>0</v>
      </c>
    </row>
    <row r="200" spans="1:20" ht="18" customHeight="1" outlineLevel="1">
      <c r="A200" t="s">
        <v>255</v>
      </c>
      <c r="B200" s="627"/>
      <c r="C200" s="426">
        <v>46107</v>
      </c>
      <c r="D200" s="380" t="s">
        <v>299</v>
      </c>
      <c r="E200" s="380" t="s">
        <v>504</v>
      </c>
      <c r="F200" s="380" t="s">
        <v>209</v>
      </c>
      <c r="G200" s="380" t="s">
        <v>222</v>
      </c>
      <c r="H200" s="512">
        <v>8.1999999999999993</v>
      </c>
      <c r="I200" s="380" t="s">
        <v>517</v>
      </c>
      <c r="J200" s="355"/>
      <c r="K200" s="355"/>
      <c r="L200" s="355"/>
      <c r="N200" s="346">
        <f t="shared" si="14"/>
        <v>8.1999999999999993</v>
      </c>
      <c r="O200" s="346">
        <f t="shared" si="15"/>
        <v>0</v>
      </c>
      <c r="P200" s="346">
        <f t="shared" si="16"/>
        <v>0</v>
      </c>
      <c r="Q200" s="346">
        <f t="shared" si="17"/>
        <v>0</v>
      </c>
      <c r="R200" s="346">
        <f t="shared" si="18"/>
        <v>0</v>
      </c>
      <c r="S200" s="346">
        <f t="shared" si="19"/>
        <v>0</v>
      </c>
      <c r="T200" s="346">
        <f t="shared" si="20"/>
        <v>0</v>
      </c>
    </row>
    <row r="201" spans="1:20" ht="18" customHeight="1" outlineLevel="1">
      <c r="A201" t="s">
        <v>255</v>
      </c>
      <c r="B201" s="627"/>
      <c r="C201" s="426">
        <v>46107</v>
      </c>
      <c r="D201" s="380" t="s">
        <v>300</v>
      </c>
      <c r="E201" s="380" t="s">
        <v>504</v>
      </c>
      <c r="F201" s="380" t="s">
        <v>549</v>
      </c>
      <c r="G201" s="380" t="s">
        <v>222</v>
      </c>
      <c r="H201" s="512">
        <v>395.52</v>
      </c>
      <c r="I201" s="380" t="s">
        <v>246</v>
      </c>
      <c r="J201" s="355"/>
      <c r="K201" s="355"/>
      <c r="L201" s="355"/>
      <c r="N201" s="346">
        <f t="shared" si="14"/>
        <v>395.52</v>
      </c>
      <c r="O201" s="346">
        <f t="shared" si="15"/>
        <v>0</v>
      </c>
      <c r="P201" s="346">
        <f t="shared" si="16"/>
        <v>0</v>
      </c>
      <c r="Q201" s="346">
        <f t="shared" si="17"/>
        <v>0</v>
      </c>
      <c r="R201" s="346">
        <f t="shared" si="18"/>
        <v>0</v>
      </c>
      <c r="S201" s="346">
        <f t="shared" si="19"/>
        <v>0</v>
      </c>
      <c r="T201" s="346">
        <f t="shared" si="20"/>
        <v>0</v>
      </c>
    </row>
    <row r="202" spans="1:20" ht="18" customHeight="1" outlineLevel="1">
      <c r="A202" t="s">
        <v>255</v>
      </c>
      <c r="B202" s="627"/>
      <c r="C202" s="426">
        <v>46108</v>
      </c>
      <c r="D202" s="380" t="s">
        <v>52</v>
      </c>
      <c r="E202" s="380" t="s">
        <v>503</v>
      </c>
      <c r="F202" s="380" t="s">
        <v>209</v>
      </c>
      <c r="G202" s="380" t="s">
        <v>222</v>
      </c>
      <c r="H202" s="512">
        <v>14.99</v>
      </c>
      <c r="I202" s="380" t="s">
        <v>44</v>
      </c>
      <c r="J202" s="355"/>
      <c r="K202" s="355"/>
      <c r="L202" s="355"/>
      <c r="N202" s="346">
        <f t="shared" si="14"/>
        <v>14.99</v>
      </c>
      <c r="O202" s="346">
        <f t="shared" si="15"/>
        <v>0</v>
      </c>
      <c r="P202" s="346">
        <f t="shared" si="16"/>
        <v>0</v>
      </c>
      <c r="Q202" s="346">
        <f t="shared" si="17"/>
        <v>0</v>
      </c>
      <c r="R202" s="346">
        <f t="shared" si="18"/>
        <v>0</v>
      </c>
      <c r="S202" s="346">
        <f t="shared" si="19"/>
        <v>0</v>
      </c>
      <c r="T202" s="346">
        <f t="shared" si="20"/>
        <v>0</v>
      </c>
    </row>
    <row r="203" spans="1:20" ht="18" customHeight="1" outlineLevel="1">
      <c r="A203" t="s">
        <v>255</v>
      </c>
      <c r="B203" s="627"/>
      <c r="C203" s="426">
        <v>46108</v>
      </c>
      <c r="D203" s="380" t="s">
        <v>101</v>
      </c>
      <c r="E203" s="380" t="s">
        <v>211</v>
      </c>
      <c r="F203" s="380" t="s">
        <v>209</v>
      </c>
      <c r="G203" s="380" t="s">
        <v>211</v>
      </c>
      <c r="H203" s="512">
        <v>100</v>
      </c>
      <c r="I203" s="380" t="s">
        <v>216</v>
      </c>
      <c r="J203" s="355"/>
      <c r="K203" s="355"/>
      <c r="L203" s="355"/>
      <c r="N203" s="346">
        <f t="shared" si="14"/>
        <v>0</v>
      </c>
      <c r="O203" s="346">
        <f t="shared" si="15"/>
        <v>0</v>
      </c>
      <c r="P203" s="346">
        <f t="shared" si="16"/>
        <v>0</v>
      </c>
      <c r="Q203" s="346">
        <f t="shared" si="17"/>
        <v>0</v>
      </c>
      <c r="R203" s="346">
        <f t="shared" si="18"/>
        <v>0</v>
      </c>
      <c r="S203" s="346">
        <f t="shared" si="19"/>
        <v>100</v>
      </c>
      <c r="T203" s="346">
        <f t="shared" si="20"/>
        <v>0</v>
      </c>
    </row>
    <row r="204" spans="1:20" ht="18" customHeight="1" outlineLevel="1">
      <c r="A204" t="s">
        <v>255</v>
      </c>
      <c r="B204" s="627"/>
      <c r="C204" s="426">
        <v>46108</v>
      </c>
      <c r="D204" s="380" t="s">
        <v>307</v>
      </c>
      <c r="E204" s="380" t="s">
        <v>504</v>
      </c>
      <c r="F204" s="380" t="s">
        <v>209</v>
      </c>
      <c r="G204" s="380" t="s">
        <v>222</v>
      </c>
      <c r="H204" s="512">
        <v>14.1</v>
      </c>
      <c r="I204" s="380" t="s">
        <v>517</v>
      </c>
      <c r="J204" s="355"/>
      <c r="K204" s="355"/>
      <c r="L204" s="355"/>
      <c r="N204" s="346">
        <f t="shared" ref="N204:N274" si="21">IF(OR(E204="Personal Expense",E204="Recurring Expense"),H204,0)</f>
        <v>14.1</v>
      </c>
      <c r="O204" s="346">
        <f t="shared" ref="O204:O274" si="22">IF(E204="Internal Transfer",H204,0)</f>
        <v>0</v>
      </c>
      <c r="P204" s="346">
        <f t="shared" ref="P204:P274" si="23">IF(E204="Saving Allocation",H204,0)</f>
        <v>0</v>
      </c>
      <c r="Q204" s="346">
        <f t="shared" ref="Q204:Q274" si="24">IF(E204="Investment",H204,0)</f>
        <v>0</v>
      </c>
      <c r="R204" s="346">
        <f t="shared" ref="R204:R274" si="25">IF(E204="Debt Repayment",H204,0)</f>
        <v>0</v>
      </c>
      <c r="S204" s="346">
        <f t="shared" ref="S204:S274" si="26">IF(E204="Joint Account",H204,0)</f>
        <v>0</v>
      </c>
      <c r="T204" s="346">
        <f t="shared" ref="T204:T274" si="27">IF(E204="Income",H204,0)</f>
        <v>0</v>
      </c>
    </row>
    <row r="205" spans="1:20" ht="18" customHeight="1" outlineLevel="1">
      <c r="A205" t="s">
        <v>255</v>
      </c>
      <c r="B205" s="627"/>
      <c r="C205" s="426">
        <v>46108</v>
      </c>
      <c r="D205" s="380" t="s">
        <v>311</v>
      </c>
      <c r="E205" s="380" t="s">
        <v>491</v>
      </c>
      <c r="F205" s="380" t="s">
        <v>209</v>
      </c>
      <c r="G205" s="380" t="s">
        <v>85</v>
      </c>
      <c r="H205" s="512">
        <v>51</v>
      </c>
      <c r="I205" s="380" t="s">
        <v>225</v>
      </c>
      <c r="J205" s="355"/>
      <c r="K205" s="355"/>
      <c r="L205" s="355"/>
      <c r="N205" s="346">
        <f t="shared" si="21"/>
        <v>0</v>
      </c>
      <c r="O205" s="346">
        <f t="shared" si="22"/>
        <v>51</v>
      </c>
      <c r="P205" s="346">
        <f t="shared" si="23"/>
        <v>0</v>
      </c>
      <c r="Q205" s="346">
        <f t="shared" si="24"/>
        <v>0</v>
      </c>
      <c r="R205" s="346">
        <f t="shared" si="25"/>
        <v>0</v>
      </c>
      <c r="S205" s="346">
        <f t="shared" si="26"/>
        <v>0</v>
      </c>
      <c r="T205" s="346">
        <f t="shared" si="27"/>
        <v>0</v>
      </c>
    </row>
    <row r="206" spans="1:20" ht="18" customHeight="1" outlineLevel="1">
      <c r="A206" t="s">
        <v>255</v>
      </c>
      <c r="B206" s="627"/>
      <c r="C206" s="426">
        <v>46109</v>
      </c>
      <c r="D206" s="380" t="s">
        <v>312</v>
      </c>
      <c r="E206" s="380" t="s">
        <v>504</v>
      </c>
      <c r="F206" s="380" t="s">
        <v>209</v>
      </c>
      <c r="G206" s="380" t="s">
        <v>222</v>
      </c>
      <c r="H206" s="512">
        <v>17.8</v>
      </c>
      <c r="I206" s="380" t="s">
        <v>517</v>
      </c>
      <c r="J206" s="355"/>
      <c r="K206" s="355"/>
      <c r="L206" s="355"/>
      <c r="N206" s="346">
        <f t="shared" si="21"/>
        <v>17.8</v>
      </c>
      <c r="O206" s="346">
        <f t="shared" si="22"/>
        <v>0</v>
      </c>
      <c r="P206" s="346">
        <f t="shared" si="23"/>
        <v>0</v>
      </c>
      <c r="Q206" s="346">
        <f t="shared" si="24"/>
        <v>0</v>
      </c>
      <c r="R206" s="346">
        <f t="shared" si="25"/>
        <v>0</v>
      </c>
      <c r="S206" s="346">
        <f t="shared" si="26"/>
        <v>0</v>
      </c>
      <c r="T206" s="346">
        <f t="shared" si="27"/>
        <v>0</v>
      </c>
    </row>
    <row r="207" spans="1:20" ht="18" customHeight="1" outlineLevel="1">
      <c r="A207" t="s">
        <v>255</v>
      </c>
      <c r="B207" s="627"/>
      <c r="C207" s="426">
        <v>46109</v>
      </c>
      <c r="D207" s="380" t="s">
        <v>313</v>
      </c>
      <c r="E207" s="380" t="s">
        <v>504</v>
      </c>
      <c r="F207" s="380" t="s">
        <v>209</v>
      </c>
      <c r="G207" s="380" t="s">
        <v>222</v>
      </c>
      <c r="H207" s="512">
        <v>12</v>
      </c>
      <c r="I207" s="380" t="s">
        <v>220</v>
      </c>
      <c r="J207" s="355"/>
      <c r="K207" s="355"/>
      <c r="L207" s="355"/>
      <c r="N207" s="346">
        <f t="shared" si="21"/>
        <v>12</v>
      </c>
      <c r="O207" s="346">
        <f t="shared" si="22"/>
        <v>0</v>
      </c>
      <c r="P207" s="346">
        <f t="shared" si="23"/>
        <v>0</v>
      </c>
      <c r="Q207" s="346">
        <f t="shared" si="24"/>
        <v>0</v>
      </c>
      <c r="R207" s="346">
        <f t="shared" si="25"/>
        <v>0</v>
      </c>
      <c r="S207" s="346">
        <f t="shared" si="26"/>
        <v>0</v>
      </c>
      <c r="T207" s="346">
        <f t="shared" si="27"/>
        <v>0</v>
      </c>
    </row>
    <row r="208" spans="1:20" ht="18" customHeight="1" outlineLevel="1">
      <c r="A208" t="s">
        <v>255</v>
      </c>
      <c r="B208" s="627"/>
      <c r="C208" s="426">
        <v>46111</v>
      </c>
      <c r="D208" s="380" t="s">
        <v>101</v>
      </c>
      <c r="E208" s="380" t="s">
        <v>211</v>
      </c>
      <c r="F208" s="380" t="s">
        <v>314</v>
      </c>
      <c r="G208" s="380" t="s">
        <v>211</v>
      </c>
      <c r="H208" s="512">
        <v>200</v>
      </c>
      <c r="I208" s="380" t="s">
        <v>216</v>
      </c>
      <c r="J208" s="355"/>
      <c r="K208" s="355"/>
      <c r="L208" s="355"/>
      <c r="N208" s="346">
        <f t="shared" si="21"/>
        <v>0</v>
      </c>
      <c r="O208" s="346">
        <f t="shared" si="22"/>
        <v>0</v>
      </c>
      <c r="P208" s="346">
        <f t="shared" si="23"/>
        <v>0</v>
      </c>
      <c r="Q208" s="346">
        <f t="shared" si="24"/>
        <v>0</v>
      </c>
      <c r="R208" s="346">
        <f t="shared" si="25"/>
        <v>0</v>
      </c>
      <c r="S208" s="346">
        <f t="shared" si="26"/>
        <v>200</v>
      </c>
      <c r="T208" s="346">
        <f t="shared" si="27"/>
        <v>0</v>
      </c>
    </row>
    <row r="209" spans="1:20" ht="18" customHeight="1" outlineLevel="1">
      <c r="A209" t="s">
        <v>255</v>
      </c>
      <c r="B209" s="627"/>
      <c r="C209" s="426">
        <v>46111</v>
      </c>
      <c r="D209" s="380" t="s">
        <v>315</v>
      </c>
      <c r="E209" s="380" t="s">
        <v>504</v>
      </c>
      <c r="F209" s="380" t="s">
        <v>209</v>
      </c>
      <c r="G209" s="380" t="s">
        <v>222</v>
      </c>
      <c r="H209" s="512">
        <v>10</v>
      </c>
      <c r="I209" s="380" t="s">
        <v>219</v>
      </c>
      <c r="J209" s="355"/>
      <c r="K209" s="355"/>
      <c r="L209" s="355"/>
      <c r="N209" s="346">
        <f t="shared" si="21"/>
        <v>10</v>
      </c>
      <c r="O209" s="346">
        <f t="shared" si="22"/>
        <v>0</v>
      </c>
      <c r="P209" s="346">
        <f t="shared" si="23"/>
        <v>0</v>
      </c>
      <c r="Q209" s="346">
        <f t="shared" si="24"/>
        <v>0</v>
      </c>
      <c r="R209" s="346">
        <f t="shared" si="25"/>
        <v>0</v>
      </c>
      <c r="S209" s="346">
        <f t="shared" si="26"/>
        <v>0</v>
      </c>
      <c r="T209" s="346">
        <f t="shared" si="27"/>
        <v>0</v>
      </c>
    </row>
    <row r="210" spans="1:20" ht="18" customHeight="1" outlineLevel="1">
      <c r="A210" t="s">
        <v>255</v>
      </c>
      <c r="B210" s="627"/>
      <c r="C210" s="426">
        <v>46111</v>
      </c>
      <c r="D210" s="380" t="s">
        <v>104</v>
      </c>
      <c r="E210" s="380" t="s">
        <v>504</v>
      </c>
      <c r="F210" s="380" t="s">
        <v>209</v>
      </c>
      <c r="G210" s="380" t="s">
        <v>222</v>
      </c>
      <c r="H210" s="512">
        <v>16.260000000000002</v>
      </c>
      <c r="I210" s="380" t="s">
        <v>517</v>
      </c>
      <c r="J210" s="355"/>
      <c r="K210" s="355"/>
      <c r="L210" s="355"/>
      <c r="N210" s="346">
        <f t="shared" si="21"/>
        <v>16.260000000000002</v>
      </c>
      <c r="O210" s="346">
        <f t="shared" si="22"/>
        <v>0</v>
      </c>
      <c r="P210" s="346">
        <f t="shared" si="23"/>
        <v>0</v>
      </c>
      <c r="Q210" s="346">
        <f t="shared" si="24"/>
        <v>0</v>
      </c>
      <c r="R210" s="346">
        <f t="shared" si="25"/>
        <v>0</v>
      </c>
      <c r="S210" s="346">
        <f t="shared" si="26"/>
        <v>0</v>
      </c>
      <c r="T210" s="346">
        <f t="shared" si="27"/>
        <v>0</v>
      </c>
    </row>
    <row r="211" spans="1:20" ht="18" customHeight="1">
      <c r="A211" t="s">
        <v>255</v>
      </c>
      <c r="B211" s="620" t="s">
        <v>254</v>
      </c>
      <c r="C211" s="612"/>
      <c r="D211" s="612"/>
      <c r="E211" s="612"/>
      <c r="F211" s="612"/>
      <c r="G211" s="613"/>
      <c r="H211" s="423">
        <f>SUMIF(E192:E209,"Income",H192:H209)</f>
        <v>1264.5</v>
      </c>
      <c r="I211" s="396"/>
      <c r="J211" s="355"/>
      <c r="K211" s="355"/>
      <c r="L211" s="355"/>
      <c r="N211" s="346">
        <f t="shared" si="21"/>
        <v>0</v>
      </c>
      <c r="O211" s="346">
        <f t="shared" si="22"/>
        <v>0</v>
      </c>
      <c r="P211" s="346">
        <f t="shared" si="23"/>
        <v>0</v>
      </c>
      <c r="Q211" s="346">
        <f t="shared" si="24"/>
        <v>0</v>
      </c>
      <c r="R211" s="346">
        <f t="shared" si="25"/>
        <v>0</v>
      </c>
      <c r="S211" s="346">
        <f t="shared" si="26"/>
        <v>0</v>
      </c>
      <c r="T211" s="346">
        <f t="shared" si="27"/>
        <v>0</v>
      </c>
    </row>
    <row r="212" spans="1:20" ht="18" customHeight="1">
      <c r="A212" t="s">
        <v>255</v>
      </c>
      <c r="B212" s="445"/>
      <c r="C212" s="446"/>
      <c r="D212" s="446"/>
      <c r="E212" s="446"/>
      <c r="F212" s="615" t="s">
        <v>354</v>
      </c>
      <c r="G212" s="613"/>
      <c r="H212" s="430">
        <f>SUMIF(E192:E209,"Joint Account",H192:H209)</f>
        <v>500</v>
      </c>
      <c r="I212" s="400"/>
      <c r="J212" s="355"/>
      <c r="K212" s="355"/>
      <c r="L212" s="355"/>
      <c r="N212" s="346">
        <f t="shared" si="21"/>
        <v>0</v>
      </c>
      <c r="O212" s="346">
        <f t="shared" si="22"/>
        <v>0</v>
      </c>
      <c r="P212" s="346">
        <f t="shared" si="23"/>
        <v>0</v>
      </c>
      <c r="Q212" s="346">
        <f t="shared" si="24"/>
        <v>0</v>
      </c>
      <c r="R212" s="346">
        <f t="shared" si="25"/>
        <v>0</v>
      </c>
      <c r="S212" s="346">
        <f t="shared" si="26"/>
        <v>0</v>
      </c>
      <c r="T212" s="346">
        <f t="shared" si="27"/>
        <v>0</v>
      </c>
    </row>
    <row r="213" spans="1:20" ht="18" customHeight="1">
      <c r="A213" t="s">
        <v>255</v>
      </c>
      <c r="B213" s="611" t="s">
        <v>226</v>
      </c>
      <c r="C213" s="612"/>
      <c r="D213" s="612"/>
      <c r="E213" s="612"/>
      <c r="F213" s="612"/>
      <c r="G213" s="613"/>
      <c r="H213" s="450">
        <f>SUMIF(E192:E209,"Recurring Expense",H192:H209)</f>
        <v>179.94</v>
      </c>
      <c r="I213" s="406"/>
      <c r="J213" s="60"/>
      <c r="K213" s="60"/>
      <c r="L213" s="60"/>
      <c r="N213" s="346">
        <f t="shared" si="21"/>
        <v>0</v>
      </c>
      <c r="O213" s="346">
        <f t="shared" si="22"/>
        <v>0</v>
      </c>
      <c r="P213" s="346">
        <f t="shared" si="23"/>
        <v>0</v>
      </c>
      <c r="Q213" s="346">
        <f t="shared" si="24"/>
        <v>0</v>
      </c>
      <c r="R213" s="346">
        <f t="shared" si="25"/>
        <v>0</v>
      </c>
      <c r="S213" s="346">
        <f t="shared" si="26"/>
        <v>0</v>
      </c>
      <c r="T213" s="346">
        <f t="shared" si="27"/>
        <v>0</v>
      </c>
    </row>
    <row r="214" spans="1:20" ht="18" customHeight="1">
      <c r="A214" t="s">
        <v>255</v>
      </c>
      <c r="B214" s="611" t="s">
        <v>227</v>
      </c>
      <c r="C214" s="612"/>
      <c r="D214" s="612"/>
      <c r="E214" s="612"/>
      <c r="F214" s="612"/>
      <c r="G214" s="613"/>
      <c r="H214" s="450">
        <f>SUMIF(E192:E209,"Investment",H192:H209)</f>
        <v>15</v>
      </c>
      <c r="I214" s="406"/>
      <c r="J214" s="60"/>
      <c r="K214" s="60"/>
      <c r="L214" s="60"/>
      <c r="N214" s="346">
        <f t="shared" si="21"/>
        <v>0</v>
      </c>
      <c r="O214" s="346">
        <f t="shared" si="22"/>
        <v>0</v>
      </c>
      <c r="P214" s="346">
        <f t="shared" si="23"/>
        <v>0</v>
      </c>
      <c r="Q214" s="346">
        <f t="shared" si="24"/>
        <v>0</v>
      </c>
      <c r="R214" s="346">
        <f t="shared" si="25"/>
        <v>0</v>
      </c>
      <c r="S214" s="346">
        <f t="shared" si="26"/>
        <v>0</v>
      </c>
      <c r="T214" s="346">
        <f t="shared" si="27"/>
        <v>0</v>
      </c>
    </row>
    <row r="215" spans="1:20" ht="18" customHeight="1">
      <c r="A215" t="s">
        <v>255</v>
      </c>
      <c r="B215" s="447"/>
      <c r="C215" s="448"/>
      <c r="D215" s="448"/>
      <c r="E215" s="448"/>
      <c r="F215" s="448"/>
      <c r="G215" s="449" t="s">
        <v>250</v>
      </c>
      <c r="H215" s="450">
        <f>SUMIF(E192:E209,"Saving Allocation",H192:H209)</f>
        <v>645</v>
      </c>
      <c r="I215" s="406"/>
      <c r="J215" s="60"/>
      <c r="K215" s="60"/>
      <c r="L215" s="60"/>
      <c r="N215" s="346">
        <f t="shared" si="21"/>
        <v>0</v>
      </c>
      <c r="O215" s="346">
        <f t="shared" si="22"/>
        <v>0</v>
      </c>
      <c r="P215" s="346">
        <f t="shared" si="23"/>
        <v>0</v>
      </c>
      <c r="Q215" s="346">
        <f t="shared" si="24"/>
        <v>0</v>
      </c>
      <c r="R215" s="346">
        <f t="shared" si="25"/>
        <v>0</v>
      </c>
      <c r="S215" s="346">
        <f t="shared" si="26"/>
        <v>0</v>
      </c>
      <c r="T215" s="346">
        <f t="shared" si="27"/>
        <v>0</v>
      </c>
    </row>
    <row r="216" spans="1:20" ht="18" customHeight="1">
      <c r="A216" t="s">
        <v>255</v>
      </c>
      <c r="B216" s="611" t="s">
        <v>251</v>
      </c>
      <c r="C216" s="612"/>
      <c r="D216" s="612"/>
      <c r="E216" s="612"/>
      <c r="F216" s="612"/>
      <c r="G216" s="613"/>
      <c r="H216" s="450">
        <f>SUMIF(E192:E209,"Personal Expense",H192:H209)</f>
        <v>549.19999999999993</v>
      </c>
      <c r="I216" s="406"/>
      <c r="J216" s="60"/>
      <c r="K216" s="60"/>
      <c r="L216" s="60"/>
      <c r="N216" s="346">
        <f t="shared" si="21"/>
        <v>0</v>
      </c>
      <c r="O216" s="346">
        <f t="shared" si="22"/>
        <v>0</v>
      </c>
      <c r="P216" s="346">
        <f t="shared" si="23"/>
        <v>0</v>
      </c>
      <c r="Q216" s="346">
        <f t="shared" si="24"/>
        <v>0</v>
      </c>
      <c r="R216" s="346">
        <f t="shared" si="25"/>
        <v>0</v>
      </c>
      <c r="S216" s="346">
        <f t="shared" si="26"/>
        <v>0</v>
      </c>
      <c r="T216" s="346">
        <f t="shared" si="27"/>
        <v>0</v>
      </c>
    </row>
    <row r="217" spans="1:20" ht="18" customHeight="1">
      <c r="A217" t="s">
        <v>255</v>
      </c>
      <c r="B217" s="447"/>
      <c r="C217" s="448"/>
      <c r="D217" s="448"/>
      <c r="E217" s="448"/>
      <c r="F217" s="448"/>
      <c r="G217" s="449" t="s">
        <v>495</v>
      </c>
      <c r="H217" s="450">
        <f>SUMIF(E192:E209,"Debt Repayment",H192:H209)</f>
        <v>0</v>
      </c>
      <c r="I217" s="406"/>
      <c r="J217" s="60"/>
      <c r="K217" s="60"/>
      <c r="L217" s="60"/>
      <c r="N217" s="346">
        <f t="shared" si="21"/>
        <v>0</v>
      </c>
      <c r="O217" s="346">
        <f t="shared" si="22"/>
        <v>0</v>
      </c>
      <c r="P217" s="346">
        <f t="shared" si="23"/>
        <v>0</v>
      </c>
      <c r="Q217" s="346">
        <f t="shared" si="24"/>
        <v>0</v>
      </c>
      <c r="R217" s="346">
        <f t="shared" si="25"/>
        <v>0</v>
      </c>
      <c r="S217" s="346">
        <f t="shared" si="26"/>
        <v>0</v>
      </c>
      <c r="T217" s="346">
        <f t="shared" si="27"/>
        <v>0</v>
      </c>
    </row>
    <row r="218" spans="1:20" ht="18" customHeight="1">
      <c r="A218" t="s">
        <v>255</v>
      </c>
      <c r="B218" s="415"/>
      <c r="C218" s="416"/>
      <c r="D218" s="416"/>
      <c r="E218" s="416"/>
      <c r="F218" s="416"/>
      <c r="G218" s="451" t="s">
        <v>253</v>
      </c>
      <c r="H218" s="413">
        <f>H213+H216+H212+H214+H217+H215</f>
        <v>1889.1399999999999</v>
      </c>
      <c r="I218" s="414"/>
      <c r="J218" s="60"/>
      <c r="K218" s="60"/>
      <c r="L218" s="60"/>
      <c r="N218" s="346">
        <f t="shared" si="21"/>
        <v>0</v>
      </c>
      <c r="O218" s="346">
        <f t="shared" si="22"/>
        <v>0</v>
      </c>
      <c r="P218" s="346">
        <f t="shared" si="23"/>
        <v>0</v>
      </c>
      <c r="Q218" s="346">
        <f t="shared" si="24"/>
        <v>0</v>
      </c>
      <c r="R218" s="346">
        <f t="shared" si="25"/>
        <v>0</v>
      </c>
      <c r="S218" s="346">
        <f t="shared" si="26"/>
        <v>0</v>
      </c>
      <c r="T218" s="346">
        <f t="shared" si="27"/>
        <v>0</v>
      </c>
    </row>
    <row r="219" spans="1:20" ht="18" customHeight="1">
      <c r="A219" t="s">
        <v>255</v>
      </c>
      <c r="B219" s="580"/>
      <c r="C219" s="581"/>
      <c r="D219" s="581"/>
      <c r="E219" s="581"/>
      <c r="F219" s="581"/>
      <c r="G219" s="581" t="s">
        <v>497</v>
      </c>
      <c r="H219" s="578">
        <f>H211-(H213+H216)-H212-H214-H217-H215</f>
        <v>-624.63999999999987</v>
      </c>
      <c r="I219" s="414"/>
      <c r="J219" s="60"/>
      <c r="K219" s="60"/>
      <c r="L219" s="60"/>
      <c r="N219" s="346">
        <f t="shared" si="21"/>
        <v>0</v>
      </c>
      <c r="O219" s="346">
        <f t="shared" si="22"/>
        <v>0</v>
      </c>
      <c r="P219" s="346">
        <f t="shared" si="23"/>
        <v>0</v>
      </c>
      <c r="Q219" s="346">
        <f t="shared" si="24"/>
        <v>0</v>
      </c>
      <c r="R219" s="346">
        <f t="shared" si="25"/>
        <v>0</v>
      </c>
      <c r="S219" s="346">
        <f t="shared" si="26"/>
        <v>0</v>
      </c>
      <c r="T219" s="346">
        <f t="shared" si="27"/>
        <v>0</v>
      </c>
    </row>
    <row r="220" spans="1:20" ht="18" customHeight="1">
      <c r="B220" s="452"/>
      <c r="C220" s="453"/>
      <c r="D220" s="453"/>
      <c r="E220" s="453"/>
      <c r="F220" s="453"/>
      <c r="G220" s="453" t="s">
        <v>554</v>
      </c>
      <c r="H220" s="439">
        <f>H219+SUMIFS($H:$H,$A:$A,A219,$E:$E,"Saving Allocation")</f>
        <v>20.360000000000127</v>
      </c>
      <c r="I220" s="418"/>
      <c r="J220" s="60"/>
      <c r="K220" s="60"/>
      <c r="L220" s="60"/>
      <c r="N220" s="346"/>
      <c r="O220" s="346"/>
      <c r="P220" s="346"/>
      <c r="Q220" s="346"/>
      <c r="R220" s="346"/>
      <c r="S220" s="346"/>
      <c r="T220" s="346"/>
    </row>
    <row r="221" spans="1:20" ht="18" customHeight="1">
      <c r="A221" t="s">
        <v>255</v>
      </c>
      <c r="B221" s="498"/>
      <c r="C221" s="425"/>
      <c r="D221" s="425"/>
      <c r="E221" s="425"/>
      <c r="F221" s="425"/>
      <c r="G221" s="425"/>
      <c r="H221" s="419"/>
      <c r="I221" s="420"/>
      <c r="J221" s="60"/>
      <c r="K221" s="60"/>
      <c r="L221" s="60"/>
      <c r="N221" s="346">
        <f t="shared" si="21"/>
        <v>0</v>
      </c>
      <c r="O221" s="346">
        <f t="shared" si="22"/>
        <v>0</v>
      </c>
      <c r="P221" s="346">
        <f t="shared" si="23"/>
        <v>0</v>
      </c>
      <c r="Q221" s="346">
        <f t="shared" si="24"/>
        <v>0</v>
      </c>
      <c r="R221" s="346">
        <f t="shared" si="25"/>
        <v>0</v>
      </c>
      <c r="S221" s="346">
        <f t="shared" si="26"/>
        <v>0</v>
      </c>
      <c r="T221" s="346">
        <f t="shared" si="27"/>
        <v>0</v>
      </c>
    </row>
    <row r="222" spans="1:20" ht="18" customHeight="1" outlineLevel="1">
      <c r="A222" t="s">
        <v>316</v>
      </c>
      <c r="B222" s="623" t="s">
        <v>316</v>
      </c>
      <c r="C222" s="443">
        <v>46112</v>
      </c>
      <c r="D222" s="440" t="s">
        <v>204</v>
      </c>
      <c r="E222" s="440" t="s">
        <v>207</v>
      </c>
      <c r="F222" s="440" t="s">
        <v>208</v>
      </c>
      <c r="G222" s="440" t="s">
        <v>209</v>
      </c>
      <c r="H222" s="378">
        <v>1580.19</v>
      </c>
      <c r="I222" s="440" t="s">
        <v>215</v>
      </c>
      <c r="J222" s="359"/>
      <c r="K222" s="359"/>
      <c r="L222" s="359"/>
      <c r="N222" s="346">
        <f t="shared" si="21"/>
        <v>0</v>
      </c>
      <c r="O222" s="346">
        <f t="shared" si="22"/>
        <v>0</v>
      </c>
      <c r="P222" s="346">
        <f t="shared" si="23"/>
        <v>0</v>
      </c>
      <c r="Q222" s="346">
        <f t="shared" si="24"/>
        <v>0</v>
      </c>
      <c r="R222" s="346">
        <f t="shared" si="25"/>
        <v>0</v>
      </c>
      <c r="S222" s="346">
        <f t="shared" si="26"/>
        <v>0</v>
      </c>
      <c r="T222" s="346">
        <f t="shared" si="27"/>
        <v>1580.19</v>
      </c>
    </row>
    <row r="223" spans="1:20" ht="18" customHeight="1" outlineLevel="1">
      <c r="A223" t="s">
        <v>316</v>
      </c>
      <c r="B223" s="627"/>
      <c r="C223" s="379">
        <v>46112</v>
      </c>
      <c r="D223" s="380" t="s">
        <v>100</v>
      </c>
      <c r="E223" s="380" t="s">
        <v>503</v>
      </c>
      <c r="F223" s="380" t="s">
        <v>209</v>
      </c>
      <c r="G223" s="380" t="s">
        <v>210</v>
      </c>
      <c r="H223" s="512">
        <v>150</v>
      </c>
      <c r="I223" s="380" t="s">
        <v>34</v>
      </c>
      <c r="J223" s="355"/>
      <c r="K223" s="355"/>
      <c r="L223" s="355"/>
      <c r="N223" s="346">
        <f t="shared" si="21"/>
        <v>150</v>
      </c>
      <c r="O223" s="346">
        <f t="shared" si="22"/>
        <v>0</v>
      </c>
      <c r="P223" s="346">
        <f t="shared" si="23"/>
        <v>0</v>
      </c>
      <c r="Q223" s="346">
        <f t="shared" si="24"/>
        <v>0</v>
      </c>
      <c r="R223" s="346">
        <f t="shared" si="25"/>
        <v>0</v>
      </c>
      <c r="S223" s="346">
        <f t="shared" si="26"/>
        <v>0</v>
      </c>
      <c r="T223" s="346">
        <f t="shared" si="27"/>
        <v>0</v>
      </c>
    </row>
    <row r="224" spans="1:20" ht="18" customHeight="1" outlineLevel="1">
      <c r="A224" t="s">
        <v>316</v>
      </c>
      <c r="B224" s="627"/>
      <c r="C224" s="379">
        <v>46112</v>
      </c>
      <c r="D224" s="380" t="s">
        <v>101</v>
      </c>
      <c r="E224" s="380" t="s">
        <v>211</v>
      </c>
      <c r="F224" s="380" t="s">
        <v>209</v>
      </c>
      <c r="G224" s="380" t="s">
        <v>211</v>
      </c>
      <c r="H224" s="512">
        <v>100</v>
      </c>
      <c r="I224" s="380" t="s">
        <v>216</v>
      </c>
      <c r="J224" s="355"/>
      <c r="K224" s="355"/>
      <c r="L224" s="355"/>
      <c r="N224" s="346">
        <f t="shared" si="21"/>
        <v>0</v>
      </c>
      <c r="O224" s="346">
        <f t="shared" si="22"/>
        <v>0</v>
      </c>
      <c r="P224" s="346">
        <f t="shared" si="23"/>
        <v>0</v>
      </c>
      <c r="Q224" s="346">
        <f t="shared" si="24"/>
        <v>0</v>
      </c>
      <c r="R224" s="346">
        <f t="shared" si="25"/>
        <v>0</v>
      </c>
      <c r="S224" s="346">
        <f t="shared" si="26"/>
        <v>100</v>
      </c>
      <c r="T224" s="346">
        <f t="shared" si="27"/>
        <v>0</v>
      </c>
    </row>
    <row r="225" spans="1:20" ht="18" customHeight="1" outlineLevel="1">
      <c r="A225" t="s">
        <v>316</v>
      </c>
      <c r="B225" s="627"/>
      <c r="C225" s="379">
        <v>46112</v>
      </c>
      <c r="D225" s="380" t="s">
        <v>107</v>
      </c>
      <c r="E225" s="380" t="s">
        <v>478</v>
      </c>
      <c r="F225" s="380" t="s">
        <v>209</v>
      </c>
      <c r="G225" s="380" t="s">
        <v>549</v>
      </c>
      <c r="H225" s="512">
        <v>800</v>
      </c>
      <c r="I225" s="380" t="s">
        <v>224</v>
      </c>
      <c r="J225" s="355"/>
      <c r="K225" s="355"/>
      <c r="L225" s="355"/>
      <c r="N225" s="346">
        <f t="shared" si="21"/>
        <v>0</v>
      </c>
      <c r="O225" s="346">
        <f t="shared" si="22"/>
        <v>0</v>
      </c>
      <c r="P225" s="346">
        <f t="shared" si="23"/>
        <v>800</v>
      </c>
      <c r="Q225" s="346">
        <f t="shared" si="24"/>
        <v>0</v>
      </c>
      <c r="R225" s="346">
        <f t="shared" si="25"/>
        <v>0</v>
      </c>
      <c r="S225" s="346">
        <f t="shared" si="26"/>
        <v>0</v>
      </c>
      <c r="T225" s="346">
        <f t="shared" si="27"/>
        <v>0</v>
      </c>
    </row>
    <row r="226" spans="1:20" ht="18" customHeight="1" outlineLevel="1">
      <c r="A226" t="s">
        <v>316</v>
      </c>
      <c r="B226" s="627"/>
      <c r="C226" s="379">
        <v>46112</v>
      </c>
      <c r="D226" s="380" t="s">
        <v>107</v>
      </c>
      <c r="E226" s="380" t="s">
        <v>478</v>
      </c>
      <c r="F226" s="380" t="s">
        <v>209</v>
      </c>
      <c r="G226" s="380" t="s">
        <v>549</v>
      </c>
      <c r="H226" s="381">
        <v>400</v>
      </c>
      <c r="I226" s="380" t="s">
        <v>224</v>
      </c>
      <c r="J226" s="355"/>
      <c r="K226" s="355"/>
      <c r="L226" s="355"/>
      <c r="N226" s="346">
        <f t="shared" si="21"/>
        <v>0</v>
      </c>
      <c r="O226" s="346">
        <f t="shared" si="22"/>
        <v>0</v>
      </c>
      <c r="P226" s="346">
        <f t="shared" si="23"/>
        <v>400</v>
      </c>
      <c r="Q226" s="346">
        <f t="shared" si="24"/>
        <v>0</v>
      </c>
      <c r="R226" s="346">
        <f t="shared" si="25"/>
        <v>0</v>
      </c>
      <c r="S226" s="346">
        <f t="shared" si="26"/>
        <v>0</v>
      </c>
      <c r="T226" s="346">
        <f t="shared" si="27"/>
        <v>0</v>
      </c>
    </row>
    <row r="227" spans="1:20" ht="18" customHeight="1" outlineLevel="1">
      <c r="A227" t="s">
        <v>316</v>
      </c>
      <c r="B227" s="627"/>
      <c r="C227" s="426">
        <v>46113</v>
      </c>
      <c r="D227" s="380" t="s">
        <v>102</v>
      </c>
      <c r="E227" s="380" t="s">
        <v>218</v>
      </c>
      <c r="F227" s="380" t="s">
        <v>209</v>
      </c>
      <c r="G227" s="380" t="s">
        <v>212</v>
      </c>
      <c r="H227" s="512">
        <v>15</v>
      </c>
      <c r="I227" s="380" t="s">
        <v>218</v>
      </c>
      <c r="J227" s="355"/>
      <c r="K227" s="355"/>
      <c r="L227" s="355"/>
      <c r="N227" s="346">
        <f t="shared" si="21"/>
        <v>0</v>
      </c>
      <c r="O227" s="346">
        <f t="shared" si="22"/>
        <v>0</v>
      </c>
      <c r="P227" s="346">
        <f t="shared" si="23"/>
        <v>0</v>
      </c>
      <c r="Q227" s="346">
        <f t="shared" si="24"/>
        <v>15</v>
      </c>
      <c r="R227" s="346">
        <f t="shared" si="25"/>
        <v>0</v>
      </c>
      <c r="S227" s="346">
        <f t="shared" si="26"/>
        <v>0</v>
      </c>
      <c r="T227" s="346">
        <f t="shared" si="27"/>
        <v>0</v>
      </c>
    </row>
    <row r="228" spans="1:20" ht="18" customHeight="1" outlineLevel="1">
      <c r="A228" t="s">
        <v>316</v>
      </c>
      <c r="B228" s="627"/>
      <c r="C228" s="426">
        <v>46113</v>
      </c>
      <c r="D228" s="380" t="s">
        <v>104</v>
      </c>
      <c r="E228" s="380" t="s">
        <v>504</v>
      </c>
      <c r="F228" s="380" t="s">
        <v>209</v>
      </c>
      <c r="G228" s="380" t="s">
        <v>222</v>
      </c>
      <c r="H228" s="512">
        <v>16.760000000000002</v>
      </c>
      <c r="I228" s="380" t="s">
        <v>517</v>
      </c>
      <c r="J228" s="355"/>
      <c r="K228" s="355"/>
      <c r="L228" s="355"/>
      <c r="N228" s="346">
        <f t="shared" si="21"/>
        <v>16.760000000000002</v>
      </c>
      <c r="O228" s="346">
        <f t="shared" si="22"/>
        <v>0</v>
      </c>
      <c r="P228" s="346">
        <f t="shared" si="23"/>
        <v>0</v>
      </c>
      <c r="Q228" s="346">
        <f t="shared" si="24"/>
        <v>0</v>
      </c>
      <c r="R228" s="346">
        <f t="shared" si="25"/>
        <v>0</v>
      </c>
      <c r="S228" s="346">
        <f t="shared" si="26"/>
        <v>0</v>
      </c>
      <c r="T228" s="346">
        <f t="shared" si="27"/>
        <v>0</v>
      </c>
    </row>
    <row r="229" spans="1:20" ht="18" customHeight="1" outlineLevel="1">
      <c r="A229" t="s">
        <v>316</v>
      </c>
      <c r="B229" s="627"/>
      <c r="C229" s="426">
        <v>46114</v>
      </c>
      <c r="D229" s="380" t="s">
        <v>104</v>
      </c>
      <c r="E229" s="380" t="s">
        <v>504</v>
      </c>
      <c r="F229" s="380" t="s">
        <v>209</v>
      </c>
      <c r="G229" s="380" t="s">
        <v>222</v>
      </c>
      <c r="H229" s="512">
        <v>12.88</v>
      </c>
      <c r="I229" s="380" t="s">
        <v>517</v>
      </c>
      <c r="J229" s="355"/>
      <c r="K229" s="355"/>
      <c r="L229" s="355"/>
      <c r="N229" s="346">
        <f t="shared" si="21"/>
        <v>12.88</v>
      </c>
      <c r="O229" s="346">
        <f t="shared" si="22"/>
        <v>0</v>
      </c>
      <c r="P229" s="346">
        <f t="shared" si="23"/>
        <v>0</v>
      </c>
      <c r="Q229" s="346">
        <f t="shared" si="24"/>
        <v>0</v>
      </c>
      <c r="R229" s="346">
        <f t="shared" si="25"/>
        <v>0</v>
      </c>
      <c r="S229" s="346">
        <f t="shared" si="26"/>
        <v>0</v>
      </c>
      <c r="T229" s="346">
        <f t="shared" si="27"/>
        <v>0</v>
      </c>
    </row>
    <row r="230" spans="1:20" ht="18" customHeight="1" outlineLevel="1">
      <c r="A230" t="s">
        <v>316</v>
      </c>
      <c r="B230" s="627"/>
      <c r="C230" s="426">
        <v>46115</v>
      </c>
      <c r="D230" s="380" t="s">
        <v>101</v>
      </c>
      <c r="E230" s="380" t="s">
        <v>211</v>
      </c>
      <c r="F230" s="380" t="s">
        <v>209</v>
      </c>
      <c r="G230" s="380" t="s">
        <v>211</v>
      </c>
      <c r="H230" s="512">
        <v>100</v>
      </c>
      <c r="I230" s="380" t="s">
        <v>216</v>
      </c>
      <c r="J230" s="355"/>
      <c r="K230" s="355"/>
      <c r="L230" s="355"/>
      <c r="N230" s="346">
        <f t="shared" si="21"/>
        <v>0</v>
      </c>
      <c r="O230" s="346">
        <f t="shared" si="22"/>
        <v>0</v>
      </c>
      <c r="P230" s="346">
        <f t="shared" si="23"/>
        <v>0</v>
      </c>
      <c r="Q230" s="346">
        <f t="shared" si="24"/>
        <v>0</v>
      </c>
      <c r="R230" s="346">
        <f t="shared" si="25"/>
        <v>0</v>
      </c>
      <c r="S230" s="346">
        <f t="shared" si="26"/>
        <v>100</v>
      </c>
      <c r="T230" s="346">
        <f t="shared" si="27"/>
        <v>0</v>
      </c>
    </row>
    <row r="231" spans="1:20" ht="18" customHeight="1" outlineLevel="1">
      <c r="A231" t="s">
        <v>316</v>
      </c>
      <c r="B231" s="627"/>
      <c r="C231" s="426">
        <v>46117</v>
      </c>
      <c r="D231" s="380" t="s">
        <v>347</v>
      </c>
      <c r="E231" s="380" t="s">
        <v>503</v>
      </c>
      <c r="F231" s="380" t="s">
        <v>209</v>
      </c>
      <c r="G231" s="380" t="s">
        <v>222</v>
      </c>
      <c r="H231" s="512">
        <v>29.99</v>
      </c>
      <c r="I231" s="380" t="s">
        <v>44</v>
      </c>
      <c r="J231" s="355"/>
      <c r="K231" s="355"/>
      <c r="L231" s="355"/>
      <c r="N231" s="346">
        <f t="shared" si="21"/>
        <v>29.99</v>
      </c>
      <c r="O231" s="346">
        <f t="shared" si="22"/>
        <v>0</v>
      </c>
      <c r="P231" s="346">
        <f t="shared" si="23"/>
        <v>0</v>
      </c>
      <c r="Q231" s="346">
        <f t="shared" si="24"/>
        <v>0</v>
      </c>
      <c r="R231" s="346">
        <f t="shared" si="25"/>
        <v>0</v>
      </c>
      <c r="S231" s="346">
        <f t="shared" si="26"/>
        <v>0</v>
      </c>
      <c r="T231" s="346">
        <f t="shared" si="27"/>
        <v>0</v>
      </c>
    </row>
    <row r="232" spans="1:20" ht="18" customHeight="1" outlineLevel="1">
      <c r="A232" t="s">
        <v>316</v>
      </c>
      <c r="B232" s="627"/>
      <c r="C232" s="379">
        <v>46117</v>
      </c>
      <c r="D232" s="380" t="s">
        <v>348</v>
      </c>
      <c r="E232" s="380" t="s">
        <v>503</v>
      </c>
      <c r="F232" s="380" t="s">
        <v>209</v>
      </c>
      <c r="G232" s="380" t="s">
        <v>222</v>
      </c>
      <c r="H232" s="454">
        <v>16</v>
      </c>
      <c r="I232" s="380" t="s">
        <v>44</v>
      </c>
      <c r="J232" s="355"/>
      <c r="K232" s="355"/>
      <c r="L232" s="355"/>
      <c r="N232" s="346">
        <f t="shared" si="21"/>
        <v>16</v>
      </c>
      <c r="O232" s="346">
        <f t="shared" si="22"/>
        <v>0</v>
      </c>
      <c r="P232" s="346">
        <f t="shared" si="23"/>
        <v>0</v>
      </c>
      <c r="Q232" s="346">
        <f t="shared" si="24"/>
        <v>0</v>
      </c>
      <c r="R232" s="346">
        <f t="shared" si="25"/>
        <v>0</v>
      </c>
      <c r="S232" s="346">
        <f t="shared" si="26"/>
        <v>0</v>
      </c>
      <c r="T232" s="346">
        <f t="shared" si="27"/>
        <v>0</v>
      </c>
    </row>
    <row r="233" spans="1:20" ht="18" customHeight="1" outlineLevel="1">
      <c r="A233" t="s">
        <v>316</v>
      </c>
      <c r="B233" s="627"/>
      <c r="C233" s="426">
        <v>46118</v>
      </c>
      <c r="D233" s="380" t="s">
        <v>101</v>
      </c>
      <c r="E233" s="380" t="s">
        <v>211</v>
      </c>
      <c r="F233" s="380" t="s">
        <v>209</v>
      </c>
      <c r="G233" s="380" t="s">
        <v>211</v>
      </c>
      <c r="H233" s="511">
        <v>50</v>
      </c>
      <c r="I233" s="380" t="s">
        <v>216</v>
      </c>
      <c r="J233" s="355"/>
      <c r="K233" s="355"/>
      <c r="L233" s="355"/>
      <c r="N233" s="346">
        <f t="shared" si="21"/>
        <v>0</v>
      </c>
      <c r="O233" s="346">
        <f t="shared" si="22"/>
        <v>0</v>
      </c>
      <c r="P233" s="346">
        <f t="shared" si="23"/>
        <v>0</v>
      </c>
      <c r="Q233" s="346">
        <f t="shared" si="24"/>
        <v>0</v>
      </c>
      <c r="R233" s="346">
        <f t="shared" si="25"/>
        <v>0</v>
      </c>
      <c r="S233" s="346">
        <f t="shared" si="26"/>
        <v>50</v>
      </c>
      <c r="T233" s="346">
        <f t="shared" si="27"/>
        <v>0</v>
      </c>
    </row>
    <row r="234" spans="1:20" ht="18" customHeight="1" outlineLevel="1">
      <c r="A234" t="s">
        <v>316</v>
      </c>
      <c r="B234" s="627"/>
      <c r="C234" s="426">
        <v>46118</v>
      </c>
      <c r="D234" s="380" t="s">
        <v>101</v>
      </c>
      <c r="E234" s="380" t="s">
        <v>211</v>
      </c>
      <c r="F234" s="380" t="s">
        <v>353</v>
      </c>
      <c r="G234" s="380" t="s">
        <v>211</v>
      </c>
      <c r="H234" s="511">
        <v>100</v>
      </c>
      <c r="I234" s="380" t="s">
        <v>216</v>
      </c>
      <c r="J234" s="355"/>
      <c r="K234" s="355"/>
      <c r="L234" s="355"/>
      <c r="N234" s="346">
        <f t="shared" si="21"/>
        <v>0</v>
      </c>
      <c r="O234" s="346">
        <f t="shared" si="22"/>
        <v>0</v>
      </c>
      <c r="P234" s="346">
        <f t="shared" si="23"/>
        <v>0</v>
      </c>
      <c r="Q234" s="346">
        <f t="shared" si="24"/>
        <v>0</v>
      </c>
      <c r="R234" s="346">
        <f t="shared" si="25"/>
        <v>0</v>
      </c>
      <c r="S234" s="346">
        <f t="shared" si="26"/>
        <v>100</v>
      </c>
      <c r="T234" s="346">
        <f t="shared" si="27"/>
        <v>0</v>
      </c>
    </row>
    <row r="235" spans="1:20" ht="18" customHeight="1" outlineLevel="1">
      <c r="A235" t="s">
        <v>316</v>
      </c>
      <c r="B235" s="627"/>
      <c r="C235" s="426">
        <v>46118</v>
      </c>
      <c r="D235" s="380" t="s">
        <v>349</v>
      </c>
      <c r="E235" s="380" t="s">
        <v>504</v>
      </c>
      <c r="F235" s="380" t="s">
        <v>209</v>
      </c>
      <c r="G235" s="380" t="s">
        <v>222</v>
      </c>
      <c r="H235" s="511">
        <v>60</v>
      </c>
      <c r="I235" s="380" t="s">
        <v>220</v>
      </c>
      <c r="J235" s="355"/>
      <c r="K235" s="355"/>
      <c r="L235" s="355"/>
      <c r="N235" s="346">
        <f t="shared" si="21"/>
        <v>60</v>
      </c>
      <c r="O235" s="346">
        <f t="shared" si="22"/>
        <v>0</v>
      </c>
      <c r="P235" s="346">
        <f t="shared" si="23"/>
        <v>0</v>
      </c>
      <c r="Q235" s="346">
        <f t="shared" si="24"/>
        <v>0</v>
      </c>
      <c r="R235" s="346">
        <f t="shared" si="25"/>
        <v>0</v>
      </c>
      <c r="S235" s="346">
        <f t="shared" si="26"/>
        <v>0</v>
      </c>
      <c r="T235" s="346">
        <f t="shared" si="27"/>
        <v>0</v>
      </c>
    </row>
    <row r="236" spans="1:20" ht="18" customHeight="1">
      <c r="A236" t="s">
        <v>316</v>
      </c>
      <c r="B236" s="620" t="s">
        <v>254</v>
      </c>
      <c r="C236" s="612"/>
      <c r="D236" s="612"/>
      <c r="E236" s="612"/>
      <c r="F236" s="612"/>
      <c r="G236" s="613"/>
      <c r="H236" s="423">
        <f>SUMIF(E222:E234,"Income",H222:H234)</f>
        <v>1580.19</v>
      </c>
      <c r="I236" s="396"/>
      <c r="J236" s="355"/>
      <c r="K236" s="355"/>
      <c r="L236" s="355"/>
      <c r="N236" s="346">
        <f t="shared" si="21"/>
        <v>0</v>
      </c>
      <c r="O236" s="346">
        <f t="shared" si="22"/>
        <v>0</v>
      </c>
      <c r="P236" s="346">
        <f t="shared" si="23"/>
        <v>0</v>
      </c>
      <c r="Q236" s="346">
        <f t="shared" si="24"/>
        <v>0</v>
      </c>
      <c r="R236" s="346">
        <f t="shared" si="25"/>
        <v>0</v>
      </c>
      <c r="S236" s="346">
        <f t="shared" si="26"/>
        <v>0</v>
      </c>
      <c r="T236" s="346">
        <f t="shared" si="27"/>
        <v>0</v>
      </c>
    </row>
    <row r="237" spans="1:20" ht="18" customHeight="1">
      <c r="A237" t="s">
        <v>316</v>
      </c>
      <c r="B237" s="445"/>
      <c r="C237" s="446"/>
      <c r="D237" s="446"/>
      <c r="E237" s="446"/>
      <c r="F237" s="615" t="s">
        <v>354</v>
      </c>
      <c r="G237" s="613"/>
      <c r="H237" s="430">
        <f>SUMIF(E222:E234,"Joint Account",H222:H234)</f>
        <v>350</v>
      </c>
      <c r="I237" s="400"/>
      <c r="J237" s="355"/>
      <c r="K237" s="355"/>
      <c r="L237" s="355"/>
      <c r="N237" s="346">
        <f t="shared" si="21"/>
        <v>0</v>
      </c>
      <c r="O237" s="346">
        <f t="shared" si="22"/>
        <v>0</v>
      </c>
      <c r="P237" s="346">
        <f t="shared" si="23"/>
        <v>0</v>
      </c>
      <c r="Q237" s="346">
        <f t="shared" si="24"/>
        <v>0</v>
      </c>
      <c r="R237" s="346">
        <f t="shared" si="25"/>
        <v>0</v>
      </c>
      <c r="S237" s="346">
        <f t="shared" si="26"/>
        <v>0</v>
      </c>
      <c r="T237" s="346">
        <f t="shared" si="27"/>
        <v>0</v>
      </c>
    </row>
    <row r="238" spans="1:20" ht="18" customHeight="1">
      <c r="A238" t="s">
        <v>316</v>
      </c>
      <c r="B238" s="611" t="s">
        <v>226</v>
      </c>
      <c r="C238" s="612"/>
      <c r="D238" s="612"/>
      <c r="E238" s="612"/>
      <c r="F238" s="612"/>
      <c r="G238" s="613"/>
      <c r="H238" s="450">
        <f>SUMIF(E222:E234,"Recurring Expense",H222:H234)</f>
        <v>195.99</v>
      </c>
      <c r="I238" s="406"/>
      <c r="J238" s="60"/>
      <c r="K238" s="60"/>
      <c r="L238" s="60"/>
      <c r="N238" s="346">
        <f t="shared" si="21"/>
        <v>0</v>
      </c>
      <c r="O238" s="346">
        <f t="shared" si="22"/>
        <v>0</v>
      </c>
      <c r="P238" s="346">
        <f t="shared" si="23"/>
        <v>0</v>
      </c>
      <c r="Q238" s="346">
        <f t="shared" si="24"/>
        <v>0</v>
      </c>
      <c r="R238" s="346">
        <f t="shared" si="25"/>
        <v>0</v>
      </c>
      <c r="S238" s="346">
        <f t="shared" si="26"/>
        <v>0</v>
      </c>
      <c r="T238" s="346">
        <f t="shared" si="27"/>
        <v>0</v>
      </c>
    </row>
    <row r="239" spans="1:20" ht="18" customHeight="1">
      <c r="A239" t="s">
        <v>316</v>
      </c>
      <c r="B239" s="611" t="s">
        <v>227</v>
      </c>
      <c r="C239" s="612"/>
      <c r="D239" s="612"/>
      <c r="E239" s="612"/>
      <c r="F239" s="612"/>
      <c r="G239" s="613"/>
      <c r="H239" s="450">
        <f>SUMIF(E222:E234,"Investment",H222:H234)</f>
        <v>15</v>
      </c>
      <c r="I239" s="406"/>
      <c r="J239" s="60"/>
      <c r="K239" s="60"/>
      <c r="L239" s="60"/>
      <c r="N239" s="346">
        <f t="shared" si="21"/>
        <v>0</v>
      </c>
      <c r="O239" s="346">
        <f t="shared" si="22"/>
        <v>0</v>
      </c>
      <c r="P239" s="346">
        <f t="shared" si="23"/>
        <v>0</v>
      </c>
      <c r="Q239" s="346">
        <f t="shared" si="24"/>
        <v>0</v>
      </c>
      <c r="R239" s="346">
        <f t="shared" si="25"/>
        <v>0</v>
      </c>
      <c r="S239" s="346">
        <f t="shared" si="26"/>
        <v>0</v>
      </c>
      <c r="T239" s="346">
        <f t="shared" si="27"/>
        <v>0</v>
      </c>
    </row>
    <row r="240" spans="1:20" ht="18" customHeight="1">
      <c r="A240" t="s">
        <v>316</v>
      </c>
      <c r="B240" s="447"/>
      <c r="C240" s="448"/>
      <c r="D240" s="448"/>
      <c r="E240" s="448"/>
      <c r="F240" s="448"/>
      <c r="G240" s="449" t="s">
        <v>250</v>
      </c>
      <c r="H240" s="450">
        <f>SUMIF(E222:E234,"Saving Allocation",H222:H234)</f>
        <v>1200</v>
      </c>
      <c r="I240" s="406"/>
      <c r="J240" s="60"/>
      <c r="K240" s="60"/>
      <c r="L240" s="60"/>
      <c r="N240" s="346">
        <f t="shared" si="21"/>
        <v>0</v>
      </c>
      <c r="O240" s="346">
        <f t="shared" si="22"/>
        <v>0</v>
      </c>
      <c r="P240" s="346">
        <f t="shared" si="23"/>
        <v>0</v>
      </c>
      <c r="Q240" s="346">
        <f t="shared" si="24"/>
        <v>0</v>
      </c>
      <c r="R240" s="346">
        <f t="shared" si="25"/>
        <v>0</v>
      </c>
      <c r="S240" s="346">
        <f t="shared" si="26"/>
        <v>0</v>
      </c>
      <c r="T240" s="346">
        <f t="shared" si="27"/>
        <v>0</v>
      </c>
    </row>
    <row r="241" spans="1:20" ht="18" customHeight="1">
      <c r="A241" t="s">
        <v>316</v>
      </c>
      <c r="B241" s="611" t="s">
        <v>251</v>
      </c>
      <c r="C241" s="612"/>
      <c r="D241" s="612"/>
      <c r="E241" s="612"/>
      <c r="F241" s="612"/>
      <c r="G241" s="613"/>
      <c r="H241" s="450">
        <f>SUMIF(E222:E234,"Personal Expense",H222:H234)</f>
        <v>29.64</v>
      </c>
      <c r="I241" s="406"/>
      <c r="J241" s="60"/>
      <c r="K241" s="60"/>
      <c r="L241" s="60"/>
      <c r="N241" s="346">
        <f t="shared" si="21"/>
        <v>0</v>
      </c>
      <c r="O241" s="346">
        <f t="shared" si="22"/>
        <v>0</v>
      </c>
      <c r="P241" s="346">
        <f t="shared" si="23"/>
        <v>0</v>
      </c>
      <c r="Q241" s="346">
        <f t="shared" si="24"/>
        <v>0</v>
      </c>
      <c r="R241" s="346">
        <f t="shared" si="25"/>
        <v>0</v>
      </c>
      <c r="S241" s="346">
        <f t="shared" si="26"/>
        <v>0</v>
      </c>
      <c r="T241" s="346">
        <f t="shared" si="27"/>
        <v>0</v>
      </c>
    </row>
    <row r="242" spans="1:20" ht="18" customHeight="1">
      <c r="A242" t="s">
        <v>316</v>
      </c>
      <c r="B242" s="415"/>
      <c r="C242" s="416"/>
      <c r="D242" s="416"/>
      <c r="E242" s="416"/>
      <c r="F242" s="416"/>
      <c r="G242" s="451" t="s">
        <v>253</v>
      </c>
      <c r="H242" s="413">
        <f>H238+H241+H237+H239+SUMIF(E222:E234,"Debt Repayment",H222:H234)+H240</f>
        <v>1790.63</v>
      </c>
      <c r="I242" s="414"/>
      <c r="J242" s="60"/>
      <c r="K242" s="60"/>
      <c r="L242" s="60"/>
      <c r="N242" s="346">
        <f t="shared" si="21"/>
        <v>0</v>
      </c>
      <c r="O242" s="346">
        <f t="shared" si="22"/>
        <v>0</v>
      </c>
      <c r="P242" s="346">
        <f t="shared" si="23"/>
        <v>0</v>
      </c>
      <c r="Q242" s="346">
        <f t="shared" si="24"/>
        <v>0</v>
      </c>
      <c r="R242" s="346">
        <f t="shared" si="25"/>
        <v>0</v>
      </c>
      <c r="S242" s="346">
        <f t="shared" si="26"/>
        <v>0</v>
      </c>
      <c r="T242" s="346">
        <f t="shared" si="27"/>
        <v>0</v>
      </c>
    </row>
    <row r="243" spans="1:20" ht="18" customHeight="1">
      <c r="A243" t="s">
        <v>316</v>
      </c>
      <c r="B243" s="580"/>
      <c r="C243" s="581"/>
      <c r="D243" s="581"/>
      <c r="E243" s="581"/>
      <c r="F243" s="581"/>
      <c r="G243" s="581" t="s">
        <v>497</v>
      </c>
      <c r="H243" s="578">
        <f>H236-(H238+H241)-H237-H239-SUMIF(E222:E235,"Debt Repayment",H222:H235)-H240</f>
        <v>-210.44000000000005</v>
      </c>
      <c r="I243" s="414"/>
      <c r="J243" s="60"/>
      <c r="K243" s="60"/>
      <c r="L243" s="60"/>
      <c r="N243" s="346">
        <f t="shared" si="21"/>
        <v>0</v>
      </c>
      <c r="O243" s="346">
        <f t="shared" si="22"/>
        <v>0</v>
      </c>
      <c r="P243" s="346">
        <f t="shared" si="23"/>
        <v>0</v>
      </c>
      <c r="Q243" s="346">
        <f t="shared" si="24"/>
        <v>0</v>
      </c>
      <c r="R243" s="346">
        <f t="shared" si="25"/>
        <v>0</v>
      </c>
      <c r="S243" s="346">
        <f t="shared" si="26"/>
        <v>0</v>
      </c>
      <c r="T243" s="346">
        <f t="shared" si="27"/>
        <v>0</v>
      </c>
    </row>
    <row r="244" spans="1:20" ht="18" customHeight="1">
      <c r="B244" s="452"/>
      <c r="C244" s="453"/>
      <c r="D244" s="453"/>
      <c r="E244" s="453"/>
      <c r="F244" s="453"/>
      <c r="G244" s="453" t="s">
        <v>554</v>
      </c>
      <c r="H244" s="439">
        <f>H243+SUMIFS($H:$H,$A:$A,A243,$E:$E,"Saving Allocation")</f>
        <v>989.56</v>
      </c>
      <c r="I244" s="418"/>
      <c r="J244" s="60"/>
      <c r="K244" s="60"/>
      <c r="L244" s="60"/>
      <c r="N244" s="346"/>
      <c r="O244" s="346"/>
      <c r="P244" s="346"/>
      <c r="Q244" s="346"/>
      <c r="R244" s="346"/>
      <c r="S244" s="346"/>
      <c r="T244" s="346"/>
    </row>
    <row r="245" spans="1:20" ht="18" customHeight="1">
      <c r="A245" t="s">
        <v>316</v>
      </c>
      <c r="B245" s="501"/>
      <c r="C245" s="455"/>
      <c r="D245" s="455"/>
      <c r="E245" s="455"/>
      <c r="F245" s="455"/>
      <c r="G245" s="455"/>
      <c r="H245" s="456"/>
      <c r="I245" s="457"/>
      <c r="J245" s="360"/>
      <c r="K245" s="360"/>
      <c r="L245" s="360"/>
      <c r="N245" s="346">
        <f t="shared" si="21"/>
        <v>0</v>
      </c>
      <c r="O245" s="346">
        <f t="shared" si="22"/>
        <v>0</v>
      </c>
      <c r="P245" s="346">
        <f t="shared" si="23"/>
        <v>0</v>
      </c>
      <c r="Q245" s="346">
        <f t="shared" si="24"/>
        <v>0</v>
      </c>
      <c r="R245" s="346">
        <f t="shared" si="25"/>
        <v>0</v>
      </c>
      <c r="S245" s="346">
        <f t="shared" si="26"/>
        <v>0</v>
      </c>
      <c r="T245" s="346">
        <f t="shared" si="27"/>
        <v>0</v>
      </c>
    </row>
    <row r="246" spans="1:20" ht="18" customHeight="1" outlineLevel="1">
      <c r="A246" t="s">
        <v>350</v>
      </c>
      <c r="B246" s="639" t="s">
        <v>350</v>
      </c>
      <c r="C246" s="458">
        <v>46119</v>
      </c>
      <c r="D246" s="459" t="s">
        <v>204</v>
      </c>
      <c r="E246" s="459" t="s">
        <v>207</v>
      </c>
      <c r="F246" s="459" t="s">
        <v>208</v>
      </c>
      <c r="G246" s="459" t="s">
        <v>209</v>
      </c>
      <c r="H246" s="460">
        <v>1202.58</v>
      </c>
      <c r="I246" s="459" t="s">
        <v>215</v>
      </c>
      <c r="J246" s="361"/>
      <c r="K246" s="361"/>
      <c r="L246" s="361"/>
      <c r="N246" s="346">
        <f t="shared" si="21"/>
        <v>0</v>
      </c>
      <c r="O246" s="346">
        <f t="shared" si="22"/>
        <v>0</v>
      </c>
      <c r="P246" s="346">
        <f t="shared" si="23"/>
        <v>0</v>
      </c>
      <c r="Q246" s="346">
        <f t="shared" si="24"/>
        <v>0</v>
      </c>
      <c r="R246" s="346">
        <f t="shared" si="25"/>
        <v>0</v>
      </c>
      <c r="S246" s="346">
        <f t="shared" si="26"/>
        <v>0</v>
      </c>
      <c r="T246" s="346">
        <f t="shared" si="27"/>
        <v>1202.58</v>
      </c>
    </row>
    <row r="247" spans="1:20" ht="18" customHeight="1" outlineLevel="1">
      <c r="A247" t="s">
        <v>350</v>
      </c>
      <c r="B247" s="627"/>
      <c r="C247" s="461">
        <v>46119</v>
      </c>
      <c r="D247" s="462" t="s">
        <v>100</v>
      </c>
      <c r="E247" s="462" t="s">
        <v>503</v>
      </c>
      <c r="F247" s="462" t="s">
        <v>209</v>
      </c>
      <c r="G247" s="462" t="s">
        <v>210</v>
      </c>
      <c r="H247" s="463">
        <v>150</v>
      </c>
      <c r="I247" s="380" t="s">
        <v>34</v>
      </c>
      <c r="J247" s="355"/>
      <c r="K247" s="355"/>
      <c r="L247" s="355"/>
      <c r="N247" s="346">
        <f t="shared" si="21"/>
        <v>150</v>
      </c>
      <c r="O247" s="346">
        <f t="shared" si="22"/>
        <v>0</v>
      </c>
      <c r="P247" s="346">
        <f t="shared" si="23"/>
        <v>0</v>
      </c>
      <c r="Q247" s="346">
        <f t="shared" si="24"/>
        <v>0</v>
      </c>
      <c r="R247" s="346">
        <f t="shared" si="25"/>
        <v>0</v>
      </c>
      <c r="S247" s="346">
        <f t="shared" si="26"/>
        <v>0</v>
      </c>
      <c r="T247" s="346">
        <f t="shared" si="27"/>
        <v>0</v>
      </c>
    </row>
    <row r="248" spans="1:20" ht="18" customHeight="1" outlineLevel="1">
      <c r="A248" t="s">
        <v>350</v>
      </c>
      <c r="B248" s="627"/>
      <c r="C248" s="461">
        <v>46119</v>
      </c>
      <c r="D248" s="462" t="s">
        <v>101</v>
      </c>
      <c r="E248" s="462" t="s">
        <v>211</v>
      </c>
      <c r="F248" s="462" t="s">
        <v>209</v>
      </c>
      <c r="G248" s="462" t="s">
        <v>211</v>
      </c>
      <c r="H248" s="463">
        <v>50</v>
      </c>
      <c r="I248" s="462" t="s">
        <v>216</v>
      </c>
      <c r="J248" s="362"/>
      <c r="K248" s="362"/>
      <c r="L248" s="362"/>
      <c r="N248" s="346">
        <f t="shared" si="21"/>
        <v>0</v>
      </c>
      <c r="O248" s="346">
        <f t="shared" si="22"/>
        <v>0</v>
      </c>
      <c r="P248" s="346">
        <f t="shared" si="23"/>
        <v>0</v>
      </c>
      <c r="Q248" s="346">
        <f t="shared" si="24"/>
        <v>0</v>
      </c>
      <c r="R248" s="346">
        <f t="shared" si="25"/>
        <v>0</v>
      </c>
      <c r="S248" s="346">
        <f t="shared" si="26"/>
        <v>50</v>
      </c>
      <c r="T248" s="346">
        <f t="shared" si="27"/>
        <v>0</v>
      </c>
    </row>
    <row r="249" spans="1:20" ht="18" customHeight="1" outlineLevel="1">
      <c r="A249" t="s">
        <v>350</v>
      </c>
      <c r="B249" s="627"/>
      <c r="C249" s="461">
        <v>46119</v>
      </c>
      <c r="D249" s="462" t="s">
        <v>352</v>
      </c>
      <c r="E249" s="462" t="s">
        <v>491</v>
      </c>
      <c r="F249" s="462" t="s">
        <v>209</v>
      </c>
      <c r="G249" s="462" t="s">
        <v>353</v>
      </c>
      <c r="H249" s="463">
        <v>100</v>
      </c>
      <c r="I249" s="462" t="s">
        <v>375</v>
      </c>
      <c r="J249" s="362"/>
      <c r="K249" s="362"/>
      <c r="L249" s="362"/>
      <c r="N249" s="346">
        <f t="shared" si="21"/>
        <v>0</v>
      </c>
      <c r="O249" s="346">
        <f t="shared" si="22"/>
        <v>100</v>
      </c>
      <c r="P249" s="346">
        <f t="shared" si="23"/>
        <v>0</v>
      </c>
      <c r="Q249" s="346">
        <f t="shared" si="24"/>
        <v>0</v>
      </c>
      <c r="R249" s="346">
        <f t="shared" si="25"/>
        <v>0</v>
      </c>
      <c r="S249" s="346">
        <f t="shared" si="26"/>
        <v>0</v>
      </c>
      <c r="T249" s="346">
        <f t="shared" si="27"/>
        <v>0</v>
      </c>
    </row>
    <row r="250" spans="1:20" ht="18" customHeight="1" outlineLevel="1">
      <c r="A250" t="s">
        <v>350</v>
      </c>
      <c r="B250" s="627"/>
      <c r="C250" s="461">
        <v>46119</v>
      </c>
      <c r="D250" s="462" t="s">
        <v>102</v>
      </c>
      <c r="E250" s="462" t="s">
        <v>218</v>
      </c>
      <c r="F250" s="462" t="s">
        <v>209</v>
      </c>
      <c r="G250" s="462" t="s">
        <v>212</v>
      </c>
      <c r="H250" s="463">
        <v>15</v>
      </c>
      <c r="I250" s="462" t="s">
        <v>218</v>
      </c>
      <c r="J250" s="362"/>
      <c r="K250" s="362"/>
      <c r="L250" s="362"/>
      <c r="N250" s="346">
        <f t="shared" si="21"/>
        <v>0</v>
      </c>
      <c r="O250" s="346">
        <f t="shared" si="22"/>
        <v>0</v>
      </c>
      <c r="P250" s="346">
        <f t="shared" si="23"/>
        <v>0</v>
      </c>
      <c r="Q250" s="346">
        <f t="shared" si="24"/>
        <v>15</v>
      </c>
      <c r="R250" s="346">
        <f t="shared" si="25"/>
        <v>0</v>
      </c>
      <c r="S250" s="346">
        <f t="shared" si="26"/>
        <v>0</v>
      </c>
      <c r="T250" s="346">
        <f t="shared" si="27"/>
        <v>0</v>
      </c>
    </row>
    <row r="251" spans="1:20" ht="18" customHeight="1" outlineLevel="1">
      <c r="A251" t="s">
        <v>350</v>
      </c>
      <c r="B251" s="627"/>
      <c r="C251" s="461">
        <v>46119</v>
      </c>
      <c r="D251" s="462" t="s">
        <v>47</v>
      </c>
      <c r="E251" s="462" t="s">
        <v>503</v>
      </c>
      <c r="F251" s="462" t="s">
        <v>209</v>
      </c>
      <c r="G251" s="462" t="s">
        <v>222</v>
      </c>
      <c r="H251" s="463">
        <v>55</v>
      </c>
      <c r="I251" s="462" t="s">
        <v>44</v>
      </c>
      <c r="J251" s="362"/>
      <c r="K251" s="362"/>
      <c r="L251" s="362"/>
      <c r="N251" s="346">
        <f t="shared" si="21"/>
        <v>55</v>
      </c>
      <c r="O251" s="346">
        <f t="shared" si="22"/>
        <v>0</v>
      </c>
      <c r="P251" s="346">
        <f t="shared" si="23"/>
        <v>0</v>
      </c>
      <c r="Q251" s="346">
        <f t="shared" si="24"/>
        <v>0</v>
      </c>
      <c r="R251" s="346">
        <f t="shared" si="25"/>
        <v>0</v>
      </c>
      <c r="S251" s="346">
        <f t="shared" si="26"/>
        <v>0</v>
      </c>
      <c r="T251" s="346">
        <f t="shared" si="27"/>
        <v>0</v>
      </c>
    </row>
    <row r="252" spans="1:20" ht="18" customHeight="1" outlineLevel="1">
      <c r="A252" t="s">
        <v>350</v>
      </c>
      <c r="B252" s="627"/>
      <c r="C252" s="461">
        <v>46119</v>
      </c>
      <c r="D252" s="380" t="s">
        <v>356</v>
      </c>
      <c r="E252" s="462" t="s">
        <v>478</v>
      </c>
      <c r="F252" s="462" t="s">
        <v>209</v>
      </c>
      <c r="G252" s="462" t="s">
        <v>340</v>
      </c>
      <c r="H252" s="463">
        <v>500</v>
      </c>
      <c r="I252" s="462" t="s">
        <v>224</v>
      </c>
      <c r="J252" s="362"/>
      <c r="K252" s="362"/>
      <c r="L252" s="362"/>
      <c r="N252" s="346">
        <f t="shared" si="21"/>
        <v>0</v>
      </c>
      <c r="O252" s="346">
        <f t="shared" si="22"/>
        <v>0</v>
      </c>
      <c r="P252" s="346">
        <f t="shared" si="23"/>
        <v>500</v>
      </c>
      <c r="Q252" s="346">
        <f t="shared" si="24"/>
        <v>0</v>
      </c>
      <c r="R252" s="346">
        <f t="shared" si="25"/>
        <v>0</v>
      </c>
      <c r="S252" s="346">
        <f t="shared" si="26"/>
        <v>0</v>
      </c>
      <c r="T252" s="346">
        <f t="shared" si="27"/>
        <v>0</v>
      </c>
    </row>
    <row r="253" spans="1:20" ht="18" customHeight="1" outlineLevel="1">
      <c r="A253" t="s">
        <v>350</v>
      </c>
      <c r="B253" s="627"/>
      <c r="C253" s="461">
        <v>46119</v>
      </c>
      <c r="D253" s="462" t="s">
        <v>357</v>
      </c>
      <c r="E253" s="462" t="s">
        <v>478</v>
      </c>
      <c r="F253" s="462" t="s">
        <v>209</v>
      </c>
      <c r="G253" s="462" t="s">
        <v>353</v>
      </c>
      <c r="H253" s="463">
        <v>100</v>
      </c>
      <c r="I253" s="462" t="s">
        <v>224</v>
      </c>
      <c r="J253" s="362"/>
      <c r="K253" s="362"/>
      <c r="L253" s="362"/>
      <c r="N253" s="346">
        <f t="shared" si="21"/>
        <v>0</v>
      </c>
      <c r="O253" s="346">
        <f t="shared" si="22"/>
        <v>0</v>
      </c>
      <c r="P253" s="346">
        <f t="shared" si="23"/>
        <v>100</v>
      </c>
      <c r="Q253" s="346">
        <f t="shared" si="24"/>
        <v>0</v>
      </c>
      <c r="R253" s="346">
        <f t="shared" si="25"/>
        <v>0</v>
      </c>
      <c r="S253" s="346">
        <f t="shared" si="26"/>
        <v>0</v>
      </c>
      <c r="T253" s="346">
        <f t="shared" si="27"/>
        <v>0</v>
      </c>
    </row>
    <row r="254" spans="1:20" ht="18" customHeight="1" outlineLevel="1">
      <c r="A254" t="s">
        <v>350</v>
      </c>
      <c r="B254" s="627"/>
      <c r="C254" s="461">
        <v>46121</v>
      </c>
      <c r="D254" s="462" t="s">
        <v>104</v>
      </c>
      <c r="E254" s="462" t="s">
        <v>504</v>
      </c>
      <c r="F254" s="462" t="s">
        <v>209</v>
      </c>
      <c r="G254" s="462" t="s">
        <v>222</v>
      </c>
      <c r="H254" s="463">
        <v>18</v>
      </c>
      <c r="I254" s="462" t="s">
        <v>517</v>
      </c>
      <c r="J254" s="362"/>
      <c r="K254" s="362"/>
      <c r="L254" s="362"/>
      <c r="N254" s="346">
        <f t="shared" si="21"/>
        <v>18</v>
      </c>
      <c r="O254" s="346">
        <f t="shared" si="22"/>
        <v>0</v>
      </c>
      <c r="P254" s="346">
        <f t="shared" si="23"/>
        <v>0</v>
      </c>
      <c r="Q254" s="346">
        <f t="shared" si="24"/>
        <v>0</v>
      </c>
      <c r="R254" s="346">
        <f t="shared" si="25"/>
        <v>0</v>
      </c>
      <c r="S254" s="346">
        <f t="shared" si="26"/>
        <v>0</v>
      </c>
      <c r="T254" s="346">
        <f t="shared" si="27"/>
        <v>0</v>
      </c>
    </row>
    <row r="255" spans="1:20" ht="18" customHeight="1" outlineLevel="1">
      <c r="A255" t="s">
        <v>350</v>
      </c>
      <c r="B255" s="627"/>
      <c r="C255" s="461">
        <v>46122</v>
      </c>
      <c r="D255" s="462" t="s">
        <v>101</v>
      </c>
      <c r="E255" s="462" t="s">
        <v>211</v>
      </c>
      <c r="F255" s="462" t="s">
        <v>209</v>
      </c>
      <c r="G255" s="462" t="s">
        <v>211</v>
      </c>
      <c r="H255" s="463">
        <v>100</v>
      </c>
      <c r="I255" s="462" t="s">
        <v>216</v>
      </c>
      <c r="J255" s="362"/>
      <c r="K255" s="362"/>
      <c r="L255" s="362"/>
      <c r="N255" s="346">
        <f t="shared" si="21"/>
        <v>0</v>
      </c>
      <c r="O255" s="346">
        <f t="shared" si="22"/>
        <v>0</v>
      </c>
      <c r="P255" s="346">
        <f t="shared" si="23"/>
        <v>0</v>
      </c>
      <c r="Q255" s="346">
        <f t="shared" si="24"/>
        <v>0</v>
      </c>
      <c r="R255" s="346">
        <f t="shared" si="25"/>
        <v>0</v>
      </c>
      <c r="S255" s="346">
        <f t="shared" si="26"/>
        <v>100</v>
      </c>
      <c r="T255" s="346">
        <f t="shared" si="27"/>
        <v>0</v>
      </c>
    </row>
    <row r="256" spans="1:20" ht="18" customHeight="1" outlineLevel="1">
      <c r="A256" t="s">
        <v>350</v>
      </c>
      <c r="B256" s="627"/>
      <c r="C256" s="461">
        <v>46123</v>
      </c>
      <c r="D256" s="462" t="s">
        <v>360</v>
      </c>
      <c r="E256" s="462" t="s">
        <v>504</v>
      </c>
      <c r="F256" s="462" t="s">
        <v>209</v>
      </c>
      <c r="G256" s="462" t="s">
        <v>222</v>
      </c>
      <c r="H256" s="464">
        <v>8</v>
      </c>
      <c r="I256" s="462" t="s">
        <v>220</v>
      </c>
      <c r="J256" s="362"/>
      <c r="K256" s="362"/>
      <c r="L256" s="362"/>
      <c r="N256" s="346">
        <f t="shared" si="21"/>
        <v>8</v>
      </c>
      <c r="O256" s="346">
        <f t="shared" si="22"/>
        <v>0</v>
      </c>
      <c r="P256" s="346">
        <f t="shared" si="23"/>
        <v>0</v>
      </c>
      <c r="Q256" s="346">
        <f t="shared" si="24"/>
        <v>0</v>
      </c>
      <c r="R256" s="346">
        <f t="shared" si="25"/>
        <v>0</v>
      </c>
      <c r="S256" s="346">
        <f t="shared" si="26"/>
        <v>0</v>
      </c>
      <c r="T256" s="346">
        <f t="shared" si="27"/>
        <v>0</v>
      </c>
    </row>
    <row r="257" spans="1:20" ht="18" customHeight="1" outlineLevel="1">
      <c r="A257" t="s">
        <v>350</v>
      </c>
      <c r="B257" s="627"/>
      <c r="C257" s="461">
        <v>46124</v>
      </c>
      <c r="D257" s="462" t="s">
        <v>361</v>
      </c>
      <c r="E257" s="462" t="s">
        <v>504</v>
      </c>
      <c r="F257" s="462" t="s">
        <v>209</v>
      </c>
      <c r="G257" s="462" t="s">
        <v>222</v>
      </c>
      <c r="H257" s="464">
        <v>44.65</v>
      </c>
      <c r="I257" s="462" t="s">
        <v>220</v>
      </c>
      <c r="J257" s="362"/>
      <c r="K257" s="362"/>
      <c r="L257" s="362"/>
      <c r="N257" s="346">
        <f t="shared" si="21"/>
        <v>44.65</v>
      </c>
      <c r="O257" s="346">
        <f t="shared" si="22"/>
        <v>0</v>
      </c>
      <c r="P257" s="346">
        <f t="shared" si="23"/>
        <v>0</v>
      </c>
      <c r="Q257" s="346">
        <f t="shared" si="24"/>
        <v>0</v>
      </c>
      <c r="R257" s="346">
        <f t="shared" si="25"/>
        <v>0</v>
      </c>
      <c r="S257" s="346">
        <f t="shared" si="26"/>
        <v>0</v>
      </c>
      <c r="T257" s="346">
        <f t="shared" si="27"/>
        <v>0</v>
      </c>
    </row>
    <row r="258" spans="1:20" ht="18" customHeight="1" outlineLevel="1">
      <c r="A258" t="s">
        <v>350</v>
      </c>
      <c r="B258" s="627"/>
      <c r="C258" s="500">
        <v>46124</v>
      </c>
      <c r="D258" s="465" t="s">
        <v>364</v>
      </c>
      <c r="E258" s="465" t="s">
        <v>504</v>
      </c>
      <c r="F258" s="465" t="s">
        <v>209</v>
      </c>
      <c r="G258" s="465" t="s">
        <v>222</v>
      </c>
      <c r="H258" s="466">
        <v>15.9</v>
      </c>
      <c r="I258" s="465" t="s">
        <v>517</v>
      </c>
      <c r="J258" s="362"/>
      <c r="K258" s="362"/>
      <c r="L258" s="362"/>
      <c r="N258" s="346">
        <f t="shared" si="21"/>
        <v>15.9</v>
      </c>
      <c r="O258" s="346">
        <f t="shared" si="22"/>
        <v>0</v>
      </c>
      <c r="P258" s="346">
        <f t="shared" si="23"/>
        <v>0</v>
      </c>
      <c r="Q258" s="346">
        <f t="shared" si="24"/>
        <v>0</v>
      </c>
      <c r="R258" s="346">
        <f t="shared" si="25"/>
        <v>0</v>
      </c>
      <c r="S258" s="346">
        <f t="shared" si="26"/>
        <v>0</v>
      </c>
      <c r="T258" s="346">
        <f t="shared" si="27"/>
        <v>0</v>
      </c>
    </row>
    <row r="259" spans="1:20" ht="18" customHeight="1" outlineLevel="1">
      <c r="A259" t="s">
        <v>350</v>
      </c>
      <c r="B259" s="627"/>
      <c r="C259" s="461">
        <v>46124</v>
      </c>
      <c r="D259" s="462" t="s">
        <v>362</v>
      </c>
      <c r="E259" s="462" t="s">
        <v>218</v>
      </c>
      <c r="F259" s="462" t="s">
        <v>353</v>
      </c>
      <c r="G259" s="462" t="s">
        <v>363</v>
      </c>
      <c r="H259" s="464">
        <v>100</v>
      </c>
      <c r="I259" s="462" t="s">
        <v>218</v>
      </c>
      <c r="J259" s="362"/>
      <c r="K259" s="362"/>
      <c r="L259" s="362"/>
      <c r="N259" s="346">
        <f t="shared" si="21"/>
        <v>0</v>
      </c>
      <c r="O259" s="346">
        <f t="shared" si="22"/>
        <v>0</v>
      </c>
      <c r="P259" s="346">
        <f t="shared" si="23"/>
        <v>0</v>
      </c>
      <c r="Q259" s="346">
        <f t="shared" si="24"/>
        <v>100</v>
      </c>
      <c r="R259" s="346">
        <f t="shared" si="25"/>
        <v>0</v>
      </c>
      <c r="S259" s="346">
        <f t="shared" si="26"/>
        <v>0</v>
      </c>
      <c r="T259" s="346">
        <f t="shared" si="27"/>
        <v>0</v>
      </c>
    </row>
    <row r="260" spans="1:20" ht="18" customHeight="1" outlineLevel="1">
      <c r="A260" t="s">
        <v>350</v>
      </c>
      <c r="B260" s="627"/>
      <c r="C260" s="426">
        <v>46125</v>
      </c>
      <c r="D260" s="465" t="s">
        <v>365</v>
      </c>
      <c r="E260" s="465" t="s">
        <v>504</v>
      </c>
      <c r="F260" s="465" t="s">
        <v>209</v>
      </c>
      <c r="G260" s="465" t="s">
        <v>222</v>
      </c>
      <c r="H260" s="467">
        <v>5.58</v>
      </c>
      <c r="I260" s="465" t="s">
        <v>517</v>
      </c>
      <c r="J260" s="362"/>
      <c r="K260" s="362"/>
      <c r="L260" s="362"/>
      <c r="N260" s="346">
        <f t="shared" si="21"/>
        <v>5.58</v>
      </c>
      <c r="O260" s="346">
        <f t="shared" si="22"/>
        <v>0</v>
      </c>
      <c r="P260" s="346">
        <f t="shared" si="23"/>
        <v>0</v>
      </c>
      <c r="Q260" s="346">
        <f t="shared" si="24"/>
        <v>0</v>
      </c>
      <c r="R260" s="346">
        <f t="shared" si="25"/>
        <v>0</v>
      </c>
      <c r="S260" s="346">
        <f t="shared" si="26"/>
        <v>0</v>
      </c>
      <c r="T260" s="346">
        <f t="shared" si="27"/>
        <v>0</v>
      </c>
    </row>
    <row r="261" spans="1:20" ht="18" customHeight="1" outlineLevel="1">
      <c r="A261" t="s">
        <v>350</v>
      </c>
      <c r="B261" s="627"/>
      <c r="C261" s="426">
        <v>46125</v>
      </c>
      <c r="D261" s="465" t="s">
        <v>104</v>
      </c>
      <c r="E261" s="465" t="s">
        <v>504</v>
      </c>
      <c r="F261" s="465" t="s">
        <v>209</v>
      </c>
      <c r="G261" s="465" t="s">
        <v>222</v>
      </c>
      <c r="H261" s="467">
        <v>12</v>
      </c>
      <c r="I261" s="465" t="s">
        <v>517</v>
      </c>
      <c r="J261" s="362"/>
      <c r="K261" s="362"/>
      <c r="L261" s="362"/>
      <c r="N261" s="346">
        <f t="shared" si="21"/>
        <v>12</v>
      </c>
      <c r="O261" s="346">
        <f t="shared" si="22"/>
        <v>0</v>
      </c>
      <c r="P261" s="346">
        <f t="shared" si="23"/>
        <v>0</v>
      </c>
      <c r="Q261" s="346">
        <f t="shared" si="24"/>
        <v>0</v>
      </c>
      <c r="R261" s="346">
        <f t="shared" si="25"/>
        <v>0</v>
      </c>
      <c r="S261" s="346">
        <f t="shared" si="26"/>
        <v>0</v>
      </c>
      <c r="T261" s="346">
        <f t="shared" si="27"/>
        <v>0</v>
      </c>
    </row>
    <row r="262" spans="1:20" ht="18" customHeight="1">
      <c r="A262" t="s">
        <v>350</v>
      </c>
      <c r="B262" s="640"/>
      <c r="C262" s="426"/>
      <c r="D262" s="465"/>
      <c r="E262" s="465"/>
      <c r="F262" s="465"/>
      <c r="G262" s="465"/>
      <c r="H262" s="467"/>
      <c r="I262" s="465"/>
      <c r="J262" s="362"/>
      <c r="K262" s="362"/>
      <c r="L262" s="362"/>
      <c r="N262" s="346">
        <f t="shared" si="21"/>
        <v>0</v>
      </c>
      <c r="O262" s="346">
        <f t="shared" si="22"/>
        <v>0</v>
      </c>
      <c r="P262" s="346">
        <f t="shared" si="23"/>
        <v>0</v>
      </c>
      <c r="Q262" s="346">
        <f t="shared" si="24"/>
        <v>0</v>
      </c>
      <c r="R262" s="346">
        <f t="shared" si="25"/>
        <v>0</v>
      </c>
      <c r="S262" s="346">
        <f t="shared" si="26"/>
        <v>0</v>
      </c>
      <c r="T262" s="346">
        <f t="shared" si="27"/>
        <v>0</v>
      </c>
    </row>
    <row r="263" spans="1:20" ht="18" customHeight="1">
      <c r="A263" t="s">
        <v>350</v>
      </c>
      <c r="B263" s="635" t="s">
        <v>254</v>
      </c>
      <c r="C263" s="612"/>
      <c r="D263" s="612"/>
      <c r="E263" s="612"/>
      <c r="F263" s="612"/>
      <c r="G263" s="622"/>
      <c r="H263" s="460">
        <f>SUMIF(E246:E261,"Income",H246:H261)</f>
        <v>1202.58</v>
      </c>
      <c r="I263" s="468"/>
      <c r="J263" s="362"/>
      <c r="K263" s="362"/>
      <c r="L263" s="362"/>
      <c r="N263" s="346">
        <f t="shared" si="21"/>
        <v>0</v>
      </c>
      <c r="O263" s="346">
        <f t="shared" si="22"/>
        <v>0</v>
      </c>
      <c r="P263" s="346">
        <f t="shared" si="23"/>
        <v>0</v>
      </c>
      <c r="Q263" s="346">
        <f t="shared" si="24"/>
        <v>0</v>
      </c>
      <c r="R263" s="346">
        <f t="shared" si="25"/>
        <v>0</v>
      </c>
      <c r="S263" s="346">
        <f t="shared" si="26"/>
        <v>0</v>
      </c>
      <c r="T263" s="346">
        <f t="shared" si="27"/>
        <v>0</v>
      </c>
    </row>
    <row r="264" spans="1:20" ht="18" customHeight="1">
      <c r="A264" t="s">
        <v>350</v>
      </c>
      <c r="B264" s="621" t="s">
        <v>354</v>
      </c>
      <c r="C264" s="612"/>
      <c r="D264" s="612"/>
      <c r="E264" s="612"/>
      <c r="F264" s="612"/>
      <c r="G264" s="622"/>
      <c r="H264" s="469">
        <f>SUMIF(E246:E261,"Joint Account",H246:H261)</f>
        <v>150</v>
      </c>
      <c r="I264" s="470"/>
      <c r="J264" s="360"/>
      <c r="K264" s="360"/>
      <c r="L264" s="360"/>
      <c r="N264" s="346">
        <f t="shared" si="21"/>
        <v>0</v>
      </c>
      <c r="O264" s="346">
        <f t="shared" si="22"/>
        <v>0</v>
      </c>
      <c r="P264" s="346">
        <f t="shared" si="23"/>
        <v>0</v>
      </c>
      <c r="Q264" s="346">
        <f t="shared" si="24"/>
        <v>0</v>
      </c>
      <c r="R264" s="346">
        <f t="shared" si="25"/>
        <v>0</v>
      </c>
      <c r="S264" s="346">
        <f t="shared" si="26"/>
        <v>0</v>
      </c>
      <c r="T264" s="346">
        <f t="shared" si="27"/>
        <v>0</v>
      </c>
    </row>
    <row r="265" spans="1:20" ht="18" customHeight="1">
      <c r="A265" t="s">
        <v>350</v>
      </c>
      <c r="B265" s="621" t="s">
        <v>226</v>
      </c>
      <c r="C265" s="612"/>
      <c r="D265" s="612"/>
      <c r="E265" s="612"/>
      <c r="F265" s="612"/>
      <c r="G265" s="622"/>
      <c r="H265" s="469">
        <f>SUMIF(E246:E261,"Recurring Expense",H246:H261)</f>
        <v>205</v>
      </c>
      <c r="I265" s="470"/>
      <c r="J265" s="360"/>
      <c r="K265" s="360"/>
      <c r="L265" s="360"/>
      <c r="N265" s="346">
        <f t="shared" si="21"/>
        <v>0</v>
      </c>
      <c r="O265" s="346">
        <f t="shared" si="22"/>
        <v>0</v>
      </c>
      <c r="P265" s="346">
        <f t="shared" si="23"/>
        <v>0</v>
      </c>
      <c r="Q265" s="346">
        <f t="shared" si="24"/>
        <v>0</v>
      </c>
      <c r="R265" s="346">
        <f t="shared" si="25"/>
        <v>0</v>
      </c>
      <c r="S265" s="346">
        <f t="shared" si="26"/>
        <v>0</v>
      </c>
      <c r="T265" s="346">
        <f t="shared" si="27"/>
        <v>0</v>
      </c>
    </row>
    <row r="266" spans="1:20" ht="18" customHeight="1">
      <c r="A266" t="s">
        <v>350</v>
      </c>
      <c r="B266" s="621" t="s">
        <v>227</v>
      </c>
      <c r="C266" s="612"/>
      <c r="D266" s="612"/>
      <c r="E266" s="612"/>
      <c r="F266" s="612"/>
      <c r="G266" s="622"/>
      <c r="H266" s="469">
        <f>SUMIF(E246:E261,"Investment",H246:H261)</f>
        <v>115</v>
      </c>
      <c r="I266" s="470"/>
      <c r="J266" s="360"/>
      <c r="K266" s="360"/>
      <c r="L266" s="360"/>
      <c r="N266" s="346">
        <f t="shared" si="21"/>
        <v>0</v>
      </c>
      <c r="O266" s="346">
        <f t="shared" si="22"/>
        <v>0</v>
      </c>
      <c r="P266" s="346">
        <f t="shared" si="23"/>
        <v>0</v>
      </c>
      <c r="Q266" s="346">
        <f t="shared" si="24"/>
        <v>0</v>
      </c>
      <c r="R266" s="346">
        <f t="shared" si="25"/>
        <v>0</v>
      </c>
      <c r="S266" s="346">
        <f t="shared" si="26"/>
        <v>0</v>
      </c>
      <c r="T266" s="346">
        <f t="shared" si="27"/>
        <v>0</v>
      </c>
    </row>
    <row r="267" spans="1:20" ht="18" customHeight="1">
      <c r="A267" t="s">
        <v>350</v>
      </c>
      <c r="B267" s="471"/>
      <c r="C267" s="472"/>
      <c r="D267" s="472"/>
      <c r="E267" s="472"/>
      <c r="F267" s="472"/>
      <c r="G267" s="473" t="s">
        <v>250</v>
      </c>
      <c r="H267" s="469">
        <f>SUMIF(E246:E261,"Saving Allocation",H246:H261)</f>
        <v>600</v>
      </c>
      <c r="I267" s="470"/>
      <c r="J267" s="360"/>
      <c r="K267" s="360"/>
      <c r="L267" s="360"/>
      <c r="N267" s="346">
        <f t="shared" si="21"/>
        <v>0</v>
      </c>
      <c r="O267" s="346">
        <f t="shared" si="22"/>
        <v>0</v>
      </c>
      <c r="P267" s="346">
        <f t="shared" si="23"/>
        <v>0</v>
      </c>
      <c r="Q267" s="346">
        <f t="shared" si="24"/>
        <v>0</v>
      </c>
      <c r="R267" s="346">
        <f t="shared" si="25"/>
        <v>0</v>
      </c>
      <c r="S267" s="346">
        <f t="shared" si="26"/>
        <v>0</v>
      </c>
      <c r="T267" s="346">
        <f t="shared" si="27"/>
        <v>0</v>
      </c>
    </row>
    <row r="268" spans="1:20" ht="18" customHeight="1">
      <c r="A268" t="s">
        <v>350</v>
      </c>
      <c r="B268" s="621" t="s">
        <v>251</v>
      </c>
      <c r="C268" s="612"/>
      <c r="D268" s="612"/>
      <c r="E268" s="612"/>
      <c r="F268" s="612"/>
      <c r="G268" s="622"/>
      <c r="H268" s="469">
        <f>SUMIF(E246:E261,"Personal Expense",H246:H261)</f>
        <v>104.13000000000001</v>
      </c>
      <c r="I268" s="470"/>
      <c r="J268" s="360"/>
      <c r="K268" s="360"/>
      <c r="L268" s="360"/>
      <c r="N268" s="346">
        <f t="shared" si="21"/>
        <v>0</v>
      </c>
      <c r="O268" s="346">
        <f t="shared" si="22"/>
        <v>0</v>
      </c>
      <c r="P268" s="346">
        <f t="shared" si="23"/>
        <v>0</v>
      </c>
      <c r="Q268" s="346">
        <f t="shared" si="24"/>
        <v>0</v>
      </c>
      <c r="R268" s="346">
        <f t="shared" si="25"/>
        <v>0</v>
      </c>
      <c r="S268" s="346">
        <f t="shared" si="26"/>
        <v>0</v>
      </c>
      <c r="T268" s="346">
        <f t="shared" si="27"/>
        <v>0</v>
      </c>
    </row>
    <row r="269" spans="1:20" ht="18" customHeight="1">
      <c r="A269" t="s">
        <v>350</v>
      </c>
      <c r="B269" s="474"/>
      <c r="C269" s="475"/>
      <c r="D269" s="475"/>
      <c r="E269" s="475"/>
      <c r="F269" s="475"/>
      <c r="G269" s="476" t="s">
        <v>253</v>
      </c>
      <c r="H269" s="477">
        <f>H265+H268+H264+H266+SUMIF(E246:E261,"Debt Repayment",H246:H261)+H267</f>
        <v>1174.1300000000001</v>
      </c>
      <c r="I269" s="478"/>
      <c r="J269" s="360"/>
      <c r="K269" s="360"/>
      <c r="L269" s="360"/>
      <c r="N269" s="346">
        <f t="shared" si="21"/>
        <v>0</v>
      </c>
      <c r="O269" s="346">
        <f t="shared" si="22"/>
        <v>0</v>
      </c>
      <c r="P269" s="346">
        <f t="shared" si="23"/>
        <v>0</v>
      </c>
      <c r="Q269" s="346">
        <f t="shared" si="24"/>
        <v>0</v>
      </c>
      <c r="R269" s="346">
        <f t="shared" si="25"/>
        <v>0</v>
      </c>
      <c r="S269" s="346">
        <f t="shared" si="26"/>
        <v>0</v>
      </c>
      <c r="T269" s="346">
        <f t="shared" si="27"/>
        <v>0</v>
      </c>
    </row>
    <row r="270" spans="1:20" ht="18" customHeight="1">
      <c r="A270" t="s">
        <v>350</v>
      </c>
      <c r="B270" s="582"/>
      <c r="C270" s="583"/>
      <c r="D270" s="583"/>
      <c r="E270" s="583"/>
      <c r="F270" s="583"/>
      <c r="G270" s="583" t="s">
        <v>497</v>
      </c>
      <c r="H270" s="584">
        <f>H263-(H265+H268)-H264-H266-SUMIF(E246:E261,"Debt Repayment",H246:H261)-H267</f>
        <v>28.449999999999932</v>
      </c>
      <c r="I270" s="478"/>
      <c r="J270" s="360"/>
      <c r="K270" s="360"/>
      <c r="L270" s="360"/>
      <c r="N270" s="346">
        <f t="shared" si="21"/>
        <v>0</v>
      </c>
      <c r="O270" s="346">
        <f t="shared" si="22"/>
        <v>0</v>
      </c>
      <c r="P270" s="346">
        <f t="shared" si="23"/>
        <v>0</v>
      </c>
      <c r="Q270" s="346">
        <f t="shared" si="24"/>
        <v>0</v>
      </c>
      <c r="R270" s="346">
        <f t="shared" si="25"/>
        <v>0</v>
      </c>
      <c r="S270" s="346">
        <f t="shared" si="26"/>
        <v>0</v>
      </c>
      <c r="T270" s="346">
        <f t="shared" si="27"/>
        <v>0</v>
      </c>
    </row>
    <row r="271" spans="1:20" ht="18" customHeight="1">
      <c r="B271" s="474"/>
      <c r="C271" s="475"/>
      <c r="D271" s="475"/>
      <c r="E271" s="475"/>
      <c r="F271" s="475"/>
      <c r="G271" s="475" t="s">
        <v>554</v>
      </c>
      <c r="H271" s="479">
        <f>H270+SUMIFS($H:$H,$A:$A,A270,$E:$E,"Saving Allocation")</f>
        <v>628.44999999999993</v>
      </c>
      <c r="I271" s="478"/>
      <c r="J271" s="360"/>
      <c r="K271" s="360"/>
      <c r="L271" s="360"/>
      <c r="N271" s="346"/>
      <c r="O271" s="346"/>
      <c r="P271" s="346"/>
      <c r="Q271" s="346"/>
      <c r="R271" s="346"/>
      <c r="S271" s="346"/>
      <c r="T271" s="346"/>
    </row>
    <row r="272" spans="1:20" ht="18" customHeight="1">
      <c r="A272" t="s">
        <v>350</v>
      </c>
      <c r="B272" s="501"/>
      <c r="C272" s="455"/>
      <c r="D272" s="455"/>
      <c r="E272" s="455"/>
      <c r="F272" s="455"/>
      <c r="G272" s="455"/>
      <c r="H272" s="456"/>
      <c r="I272" s="457"/>
      <c r="J272" s="360"/>
      <c r="K272" s="360"/>
      <c r="L272" s="360"/>
      <c r="N272" s="346">
        <f t="shared" si="21"/>
        <v>0</v>
      </c>
      <c r="O272" s="346">
        <f t="shared" si="22"/>
        <v>0</v>
      </c>
      <c r="P272" s="346">
        <f t="shared" si="23"/>
        <v>0</v>
      </c>
      <c r="Q272" s="346">
        <f t="shared" si="24"/>
        <v>0</v>
      </c>
      <c r="R272" s="346">
        <f t="shared" si="25"/>
        <v>0</v>
      </c>
      <c r="S272" s="346">
        <f t="shared" si="26"/>
        <v>0</v>
      </c>
      <c r="T272" s="346">
        <f t="shared" si="27"/>
        <v>0</v>
      </c>
    </row>
    <row r="273" spans="1:20" ht="18" customHeight="1" outlineLevel="1">
      <c r="A273" t="s">
        <v>372</v>
      </c>
      <c r="B273" s="645" t="s">
        <v>372</v>
      </c>
      <c r="C273" s="458">
        <v>46126</v>
      </c>
      <c r="D273" s="459" t="s">
        <v>204</v>
      </c>
      <c r="E273" s="459" t="s">
        <v>207</v>
      </c>
      <c r="F273" s="459" t="s">
        <v>208</v>
      </c>
      <c r="G273" s="459" t="s">
        <v>209</v>
      </c>
      <c r="H273" s="460">
        <v>1004.25</v>
      </c>
      <c r="I273" s="459" t="s">
        <v>215</v>
      </c>
      <c r="J273" s="361"/>
      <c r="K273" s="361"/>
      <c r="L273" s="361"/>
      <c r="N273" s="346">
        <f t="shared" si="21"/>
        <v>0</v>
      </c>
      <c r="O273" s="346">
        <f t="shared" si="22"/>
        <v>0</v>
      </c>
      <c r="P273" s="346">
        <f t="shared" si="23"/>
        <v>0</v>
      </c>
      <c r="Q273" s="346">
        <f t="shared" si="24"/>
        <v>0</v>
      </c>
      <c r="R273" s="346">
        <f t="shared" si="25"/>
        <v>0</v>
      </c>
      <c r="S273" s="346">
        <f t="shared" si="26"/>
        <v>0</v>
      </c>
      <c r="T273" s="346">
        <f t="shared" si="27"/>
        <v>1004.25</v>
      </c>
    </row>
    <row r="274" spans="1:20" ht="18" customHeight="1" outlineLevel="1">
      <c r="A274" t="s">
        <v>372</v>
      </c>
      <c r="B274" s="646"/>
      <c r="C274" s="461">
        <v>46127</v>
      </c>
      <c r="D274" s="462" t="s">
        <v>518</v>
      </c>
      <c r="E274" s="462" t="s">
        <v>504</v>
      </c>
      <c r="F274" s="465" t="s">
        <v>209</v>
      </c>
      <c r="G274" s="462" t="s">
        <v>222</v>
      </c>
      <c r="H274" s="463">
        <v>24.9</v>
      </c>
      <c r="I274" s="462" t="s">
        <v>517</v>
      </c>
      <c r="J274" s="362"/>
      <c r="K274" s="362"/>
      <c r="L274" s="362"/>
      <c r="N274" s="346">
        <f t="shared" si="21"/>
        <v>24.9</v>
      </c>
      <c r="O274" s="346">
        <f t="shared" si="22"/>
        <v>0</v>
      </c>
      <c r="P274" s="346">
        <f t="shared" si="23"/>
        <v>0</v>
      </c>
      <c r="Q274" s="346">
        <f t="shared" si="24"/>
        <v>0</v>
      </c>
      <c r="R274" s="346">
        <f t="shared" si="25"/>
        <v>0</v>
      </c>
      <c r="S274" s="346">
        <f t="shared" si="26"/>
        <v>0</v>
      </c>
      <c r="T274" s="346">
        <f t="shared" si="27"/>
        <v>0</v>
      </c>
    </row>
    <row r="275" spans="1:20" ht="18" customHeight="1" outlineLevel="1">
      <c r="A275" t="s">
        <v>372</v>
      </c>
      <c r="B275" s="646"/>
      <c r="C275" s="461">
        <v>46127</v>
      </c>
      <c r="D275" s="462" t="s">
        <v>373</v>
      </c>
      <c r="E275" s="462" t="s">
        <v>503</v>
      </c>
      <c r="F275" s="462" t="s">
        <v>209</v>
      </c>
      <c r="G275" s="462" t="s">
        <v>210</v>
      </c>
      <c r="H275" s="463">
        <v>150</v>
      </c>
      <c r="I275" s="462" t="s">
        <v>34</v>
      </c>
      <c r="J275" s="362"/>
      <c r="K275" s="362"/>
      <c r="L275" s="362"/>
      <c r="N275" s="346">
        <v>150</v>
      </c>
      <c r="O275" s="346">
        <v>0</v>
      </c>
      <c r="P275" s="346">
        <v>0</v>
      </c>
      <c r="Q275" s="346">
        <v>0</v>
      </c>
      <c r="R275" s="346">
        <v>0</v>
      </c>
      <c r="S275" s="346">
        <v>0</v>
      </c>
      <c r="T275" s="346">
        <v>0</v>
      </c>
    </row>
    <row r="276" spans="1:20" ht="18" customHeight="1" outlineLevel="1">
      <c r="A276" t="s">
        <v>372</v>
      </c>
      <c r="B276" s="646"/>
      <c r="C276" s="461">
        <v>46127</v>
      </c>
      <c r="D276" s="462" t="s">
        <v>101</v>
      </c>
      <c r="E276" s="462" t="s">
        <v>211</v>
      </c>
      <c r="F276" s="462" t="s">
        <v>209</v>
      </c>
      <c r="G276" s="462" t="s">
        <v>211</v>
      </c>
      <c r="H276" s="463">
        <v>100</v>
      </c>
      <c r="I276" s="462" t="s">
        <v>216</v>
      </c>
      <c r="J276" s="362"/>
      <c r="K276" s="362"/>
      <c r="L276" s="362"/>
      <c r="N276" s="346">
        <v>0</v>
      </c>
      <c r="O276" s="346">
        <v>0</v>
      </c>
      <c r="P276" s="346">
        <v>0</v>
      </c>
      <c r="Q276" s="346">
        <v>0</v>
      </c>
      <c r="R276" s="346">
        <v>0</v>
      </c>
      <c r="S276" s="346">
        <v>100</v>
      </c>
      <c r="T276" s="346">
        <v>0</v>
      </c>
    </row>
    <row r="277" spans="1:20" ht="18" customHeight="1" outlineLevel="1">
      <c r="A277" t="s">
        <v>372</v>
      </c>
      <c r="B277" s="646"/>
      <c r="C277" s="461">
        <v>46127</v>
      </c>
      <c r="D277" s="462" t="s">
        <v>374</v>
      </c>
      <c r="E277" s="462" t="s">
        <v>491</v>
      </c>
      <c r="F277" s="462" t="s">
        <v>209</v>
      </c>
      <c r="G277" s="462" t="s">
        <v>353</v>
      </c>
      <c r="H277" s="463">
        <v>100</v>
      </c>
      <c r="I277" s="462" t="s">
        <v>375</v>
      </c>
      <c r="J277" s="362"/>
      <c r="K277" s="362"/>
      <c r="L277" s="362"/>
      <c r="N277" s="346">
        <f>IF(OR(E277="Personal Expense",E277="Recurring Expense"),H277,0)</f>
        <v>0</v>
      </c>
      <c r="O277" s="346">
        <f>IF(E277="Internal Transfer",H277,0)</f>
        <v>100</v>
      </c>
      <c r="P277" s="346">
        <f>IF(E277="Saving Allocation",H277,0)</f>
        <v>0</v>
      </c>
      <c r="Q277" s="346">
        <f>IF(E277="Investment",H277,0)</f>
        <v>0</v>
      </c>
      <c r="R277" s="346">
        <f>IF(E277="Debt Repayment",H277,0)</f>
        <v>0</v>
      </c>
      <c r="S277" s="346">
        <f>IF(E277="Joint Account",H277,0)</f>
        <v>0</v>
      </c>
      <c r="T277" s="346">
        <f>IF(E277="Income",H277,0)</f>
        <v>0</v>
      </c>
    </row>
    <row r="278" spans="1:20" ht="18" customHeight="1" outlineLevel="1">
      <c r="A278" t="s">
        <v>372</v>
      </c>
      <c r="B278" s="646"/>
      <c r="C278" s="461">
        <v>46127</v>
      </c>
      <c r="D278" s="462" t="s">
        <v>102</v>
      </c>
      <c r="E278" s="462" t="s">
        <v>218</v>
      </c>
      <c r="F278" s="462" t="s">
        <v>209</v>
      </c>
      <c r="G278" s="462" t="s">
        <v>212</v>
      </c>
      <c r="H278" s="463">
        <v>15</v>
      </c>
      <c r="I278" s="462" t="s">
        <v>218</v>
      </c>
      <c r="J278" s="362"/>
      <c r="K278" s="362"/>
      <c r="L278" s="362"/>
      <c r="N278" s="346">
        <f>IF(OR(E278="Personal Expense",E278="Recurring Expense"),H278,0)</f>
        <v>0</v>
      </c>
      <c r="O278" s="346">
        <f>IF(E278="Internal Transfer",H278,0)</f>
        <v>0</v>
      </c>
      <c r="P278" s="346">
        <f>IF(E278="Saving Allocation",H278,0)</f>
        <v>0</v>
      </c>
      <c r="Q278" s="346">
        <f>IF(E278="Investment",H278,0)</f>
        <v>15</v>
      </c>
      <c r="R278" s="346">
        <f>IF(E278="Debt Repayment",H278,0)</f>
        <v>0</v>
      </c>
      <c r="S278" s="346">
        <f>IF(E278="Joint Account",H278,0)</f>
        <v>0</v>
      </c>
      <c r="T278" s="346">
        <f>IF(E278="Income",H278,0)</f>
        <v>0</v>
      </c>
    </row>
    <row r="279" spans="1:20" ht="18" customHeight="1" outlineLevel="1">
      <c r="A279" t="s">
        <v>372</v>
      </c>
      <c r="B279" s="646"/>
      <c r="C279" s="461">
        <v>46127</v>
      </c>
      <c r="D279" s="380" t="s">
        <v>356</v>
      </c>
      <c r="E279" s="462" t="s">
        <v>478</v>
      </c>
      <c r="F279" s="462" t="s">
        <v>209</v>
      </c>
      <c r="G279" s="462" t="s">
        <v>340</v>
      </c>
      <c r="H279" s="463">
        <v>500</v>
      </c>
      <c r="I279" s="462" t="s">
        <v>224</v>
      </c>
      <c r="J279" s="362"/>
      <c r="K279" s="362"/>
      <c r="L279" s="362"/>
      <c r="N279" s="346">
        <f>IF(OR(E279="Personal Expense",E279="Recurring Expense"),H279,0)</f>
        <v>0</v>
      </c>
      <c r="O279" s="346">
        <f>IF(E279="Internal Transfer",H279,0)</f>
        <v>0</v>
      </c>
      <c r="P279" s="346">
        <f>IF(E279="Saving Allocation",H279,0)</f>
        <v>500</v>
      </c>
      <c r="Q279" s="346">
        <f>IF(E279="Investment",H279,0)</f>
        <v>0</v>
      </c>
      <c r="R279" s="346">
        <f>IF(E279="Debt Repayment",H279,0)</f>
        <v>0</v>
      </c>
      <c r="S279" s="346">
        <f>IF(E279="Joint Account",H279,0)</f>
        <v>0</v>
      </c>
      <c r="T279" s="346">
        <f>IF(E279="Income",H279,0)</f>
        <v>0</v>
      </c>
    </row>
    <row r="280" spans="1:20" ht="18" customHeight="1" outlineLevel="1">
      <c r="A280" t="s">
        <v>372</v>
      </c>
      <c r="B280" s="646"/>
      <c r="C280" s="461">
        <v>46128</v>
      </c>
      <c r="D280" s="462" t="s">
        <v>104</v>
      </c>
      <c r="E280" s="462" t="s">
        <v>504</v>
      </c>
      <c r="F280" s="462" t="s">
        <v>209</v>
      </c>
      <c r="G280" s="462" t="s">
        <v>222</v>
      </c>
      <c r="H280" s="463">
        <v>14.1</v>
      </c>
      <c r="I280" s="462" t="s">
        <v>517</v>
      </c>
      <c r="J280" s="362"/>
      <c r="K280" s="362"/>
      <c r="L280" s="362"/>
      <c r="N280" s="346">
        <f>IF(OR(E280="Personal Expense",E280="Recurring Expense"),H280,0)</f>
        <v>14.1</v>
      </c>
      <c r="O280" s="346">
        <f>IF(E280="Internal Transfer",H280,0)</f>
        <v>0</v>
      </c>
      <c r="P280" s="346">
        <f>IF(E280="Saving Allocation",H280,0)</f>
        <v>0</v>
      </c>
      <c r="Q280" s="346">
        <f>IF(E280="Investment",H280,0)</f>
        <v>0</v>
      </c>
      <c r="R280" s="346">
        <f>IF(E280="Debt Repayment",H280,0)</f>
        <v>0</v>
      </c>
      <c r="S280" s="346">
        <f>IF(E280="Joint Account",H280,0)</f>
        <v>0</v>
      </c>
      <c r="T280" s="346">
        <f>IF(E280="Income",H280,0)</f>
        <v>0</v>
      </c>
    </row>
    <row r="281" spans="1:20" ht="18" customHeight="1" outlineLevel="1">
      <c r="A281" t="s">
        <v>372</v>
      </c>
      <c r="B281" s="646"/>
      <c r="C281" s="461">
        <v>46128</v>
      </c>
      <c r="D281" s="462" t="s">
        <v>232</v>
      </c>
      <c r="E281" s="462" t="s">
        <v>504</v>
      </c>
      <c r="F281" s="462" t="s">
        <v>209</v>
      </c>
      <c r="G281" s="462" t="s">
        <v>222</v>
      </c>
      <c r="H281" s="463">
        <v>55.96</v>
      </c>
      <c r="I281" s="462" t="s">
        <v>220</v>
      </c>
      <c r="J281" s="362"/>
      <c r="K281" s="362"/>
      <c r="L281" s="362"/>
      <c r="N281" s="346">
        <f>IF(OR(E281="Personal Expense",E281="Recurring Expense"),H281,0)</f>
        <v>55.96</v>
      </c>
      <c r="O281" s="346">
        <f>IF(E281="Internal Transfer",H281,0)</f>
        <v>0</v>
      </c>
      <c r="P281" s="346">
        <f>IF(E281="Saving Allocation",H281,0)</f>
        <v>0</v>
      </c>
      <c r="Q281" s="346">
        <f>IF(E281="Investment",H281,0)</f>
        <v>0</v>
      </c>
      <c r="R281" s="346">
        <f>IF(E281="Debt Repayment",H281,0)</f>
        <v>0</v>
      </c>
      <c r="S281" s="346">
        <f>IF(E281="Joint Account",H281,0)</f>
        <v>0</v>
      </c>
      <c r="T281" s="346">
        <f>IF(E281="Income",H281,0)</f>
        <v>0</v>
      </c>
    </row>
    <row r="282" spans="1:20" ht="18" customHeight="1" outlineLevel="1">
      <c r="A282" t="s">
        <v>372</v>
      </c>
      <c r="B282" s="646"/>
      <c r="C282" s="426">
        <v>46128</v>
      </c>
      <c r="D282" s="465" t="s">
        <v>384</v>
      </c>
      <c r="E282" s="465" t="s">
        <v>218</v>
      </c>
      <c r="F282" s="465" t="s">
        <v>363</v>
      </c>
      <c r="G282" s="465" t="s">
        <v>363</v>
      </c>
      <c r="H282" s="466">
        <v>100</v>
      </c>
      <c r="I282" s="465" t="s">
        <v>218</v>
      </c>
      <c r="J282" s="362"/>
      <c r="K282" s="362"/>
      <c r="L282" s="362"/>
      <c r="N282" s="346">
        <v>0</v>
      </c>
      <c r="O282" s="346">
        <v>0</v>
      </c>
      <c r="P282" s="346">
        <v>0</v>
      </c>
      <c r="Q282" s="346">
        <v>100</v>
      </c>
      <c r="R282" s="346">
        <v>0</v>
      </c>
      <c r="S282" s="346">
        <v>0</v>
      </c>
      <c r="T282" s="346">
        <v>0</v>
      </c>
    </row>
    <row r="283" spans="1:20" ht="18" customHeight="1" outlineLevel="1">
      <c r="A283" t="s">
        <v>372</v>
      </c>
      <c r="B283" s="646"/>
      <c r="C283" s="426">
        <v>46130</v>
      </c>
      <c r="D283" s="465" t="s">
        <v>101</v>
      </c>
      <c r="E283" s="465" t="s">
        <v>211</v>
      </c>
      <c r="F283" s="465" t="s">
        <v>209</v>
      </c>
      <c r="G283" s="465" t="s">
        <v>211</v>
      </c>
      <c r="H283" s="466">
        <v>75</v>
      </c>
      <c r="I283" s="465" t="s">
        <v>216</v>
      </c>
      <c r="J283" s="362"/>
      <c r="K283" s="362"/>
      <c r="L283" s="362"/>
      <c r="N283" s="346">
        <v>0</v>
      </c>
      <c r="O283" s="346">
        <v>0</v>
      </c>
      <c r="P283" s="346">
        <v>0</v>
      </c>
      <c r="Q283" s="346">
        <v>0</v>
      </c>
      <c r="R283" s="346">
        <v>0</v>
      </c>
      <c r="S283" s="346">
        <v>75</v>
      </c>
      <c r="T283" s="346">
        <v>0</v>
      </c>
    </row>
    <row r="284" spans="1:20" ht="18" customHeight="1" outlineLevel="1">
      <c r="A284" t="s">
        <v>372</v>
      </c>
      <c r="B284" s="646"/>
      <c r="C284" s="426">
        <v>46131</v>
      </c>
      <c r="D284" s="465" t="s">
        <v>449</v>
      </c>
      <c r="E284" s="465" t="s">
        <v>504</v>
      </c>
      <c r="F284" s="465" t="s">
        <v>209</v>
      </c>
      <c r="G284" s="465" t="s">
        <v>222</v>
      </c>
      <c r="H284" s="466">
        <v>15.15</v>
      </c>
      <c r="I284" s="465" t="s">
        <v>220</v>
      </c>
      <c r="J284" s="362"/>
      <c r="K284" s="362"/>
      <c r="L284" s="362"/>
      <c r="N284" s="346">
        <v>15.15</v>
      </c>
      <c r="O284" s="346">
        <v>0</v>
      </c>
      <c r="P284" s="346">
        <v>0</v>
      </c>
      <c r="Q284" s="346">
        <v>0</v>
      </c>
      <c r="R284" s="346">
        <v>0</v>
      </c>
      <c r="S284" s="346">
        <v>0</v>
      </c>
      <c r="T284" s="346">
        <v>0</v>
      </c>
    </row>
    <row r="285" spans="1:20" ht="18" customHeight="1" outlineLevel="1">
      <c r="A285" t="s">
        <v>372</v>
      </c>
      <c r="B285" s="646"/>
      <c r="C285" s="426">
        <v>46131</v>
      </c>
      <c r="D285" s="465" t="s">
        <v>361</v>
      </c>
      <c r="E285" s="465" t="s">
        <v>504</v>
      </c>
      <c r="F285" s="465" t="s">
        <v>209</v>
      </c>
      <c r="G285" s="465" t="s">
        <v>222</v>
      </c>
      <c r="H285" s="467">
        <v>32.5</v>
      </c>
      <c r="I285" s="465" t="s">
        <v>220</v>
      </c>
      <c r="J285" s="362"/>
      <c r="K285" s="362"/>
      <c r="L285" s="362"/>
      <c r="N285" s="346">
        <v>32.5</v>
      </c>
      <c r="O285" s="346">
        <v>0</v>
      </c>
      <c r="P285" s="346">
        <v>0</v>
      </c>
      <c r="Q285" s="346">
        <v>0</v>
      </c>
      <c r="R285" s="346">
        <v>0</v>
      </c>
      <c r="S285" s="346">
        <v>0</v>
      </c>
      <c r="T285" s="346">
        <v>0</v>
      </c>
    </row>
    <row r="286" spans="1:20" ht="18" customHeight="1" outlineLevel="1">
      <c r="A286" t="s">
        <v>372</v>
      </c>
      <c r="B286" s="647"/>
      <c r="C286" s="426">
        <v>46132</v>
      </c>
      <c r="D286" s="465" t="s">
        <v>101</v>
      </c>
      <c r="E286" s="465" t="s">
        <v>211</v>
      </c>
      <c r="F286" s="465" t="s">
        <v>353</v>
      </c>
      <c r="G286" s="465" t="s">
        <v>211</v>
      </c>
      <c r="H286" s="467">
        <v>100</v>
      </c>
      <c r="I286" s="465" t="s">
        <v>216</v>
      </c>
      <c r="J286" s="362"/>
      <c r="K286" s="362"/>
      <c r="L286" s="362"/>
      <c r="N286" s="346">
        <v>0</v>
      </c>
      <c r="O286" s="346">
        <v>0</v>
      </c>
      <c r="P286" s="346">
        <v>0</v>
      </c>
      <c r="Q286" s="346">
        <v>0</v>
      </c>
      <c r="R286" s="346">
        <v>0</v>
      </c>
      <c r="S286" s="346">
        <v>100</v>
      </c>
      <c r="T286" s="346">
        <v>0</v>
      </c>
    </row>
    <row r="287" spans="1:20" ht="18" customHeight="1">
      <c r="A287" t="s">
        <v>372</v>
      </c>
      <c r="B287" s="635" t="s">
        <v>254</v>
      </c>
      <c r="C287" s="612"/>
      <c r="D287" s="612"/>
      <c r="E287" s="612"/>
      <c r="F287" s="612"/>
      <c r="G287" s="622"/>
      <c r="H287" s="460">
        <f>SUMIF(E273:E285,"Income",H273:H285)</f>
        <v>1004.25</v>
      </c>
      <c r="I287" s="468"/>
      <c r="J287" s="362"/>
      <c r="K287" s="362"/>
      <c r="L287" s="362"/>
      <c r="N287" s="346">
        <f t="shared" ref="N287:N296" si="28">IF(OR(E287="Personal Expense",E287="Recurring Expense"),H287,0)</f>
        <v>0</v>
      </c>
      <c r="O287" s="346">
        <f t="shared" ref="O287:O296" si="29">IF(E287="Internal Transfer",H287,0)</f>
        <v>0</v>
      </c>
      <c r="P287" s="346">
        <f t="shared" ref="P287:P296" si="30">IF(E287="Saving Allocation",H287,0)</f>
        <v>0</v>
      </c>
      <c r="Q287" s="346">
        <f t="shared" ref="Q287:Q296" si="31">IF(E287="Investment",H287,0)</f>
        <v>0</v>
      </c>
      <c r="R287" s="346">
        <f t="shared" ref="R287:R296" si="32">IF(E287="Debt Repayment",H287,0)</f>
        <v>0</v>
      </c>
      <c r="S287" s="346">
        <f t="shared" ref="S287:S296" si="33">IF(E287="Joint Account",H287,0)</f>
        <v>0</v>
      </c>
      <c r="T287" s="346">
        <f t="shared" ref="T287:T296" si="34">IF(E287="Income",H287,0)</f>
        <v>0</v>
      </c>
    </row>
    <row r="288" spans="1:20" ht="18" customHeight="1">
      <c r="A288" t="s">
        <v>372</v>
      </c>
      <c r="B288" s="621" t="s">
        <v>354</v>
      </c>
      <c r="C288" s="612"/>
      <c r="D288" s="612"/>
      <c r="E288" s="612"/>
      <c r="F288" s="612"/>
      <c r="G288" s="622"/>
      <c r="H288" s="469">
        <f>SUMIF(E273:E286,"Joint Account",H273:H286)</f>
        <v>275</v>
      </c>
      <c r="I288" s="470"/>
      <c r="J288" s="360"/>
      <c r="K288" s="360"/>
      <c r="L288" s="360"/>
      <c r="N288" s="346">
        <f t="shared" si="28"/>
        <v>0</v>
      </c>
      <c r="O288" s="346">
        <f t="shared" si="29"/>
        <v>0</v>
      </c>
      <c r="P288" s="346">
        <f t="shared" si="30"/>
        <v>0</v>
      </c>
      <c r="Q288" s="346">
        <f t="shared" si="31"/>
        <v>0</v>
      </c>
      <c r="R288" s="346">
        <f t="shared" si="32"/>
        <v>0</v>
      </c>
      <c r="S288" s="346">
        <f t="shared" si="33"/>
        <v>0</v>
      </c>
      <c r="T288" s="346">
        <f t="shared" si="34"/>
        <v>0</v>
      </c>
    </row>
    <row r="289" spans="1:20" ht="18" customHeight="1">
      <c r="A289" t="s">
        <v>372</v>
      </c>
      <c r="B289" s="621" t="s">
        <v>226</v>
      </c>
      <c r="C289" s="612"/>
      <c r="D289" s="612"/>
      <c r="E289" s="612"/>
      <c r="F289" s="612"/>
      <c r="G289" s="622"/>
      <c r="H289" s="469">
        <f>SUMIF(E273:E285,"Recurring Expense",H273:H285)</f>
        <v>150</v>
      </c>
      <c r="I289" s="470"/>
      <c r="J289" s="360"/>
      <c r="K289" s="360"/>
      <c r="L289" s="360"/>
      <c r="N289" s="346">
        <f t="shared" si="28"/>
        <v>0</v>
      </c>
      <c r="O289" s="346">
        <f t="shared" si="29"/>
        <v>0</v>
      </c>
      <c r="P289" s="346">
        <f t="shared" si="30"/>
        <v>0</v>
      </c>
      <c r="Q289" s="346">
        <f t="shared" si="31"/>
        <v>0</v>
      </c>
      <c r="R289" s="346">
        <f t="shared" si="32"/>
        <v>0</v>
      </c>
      <c r="S289" s="346">
        <f t="shared" si="33"/>
        <v>0</v>
      </c>
      <c r="T289" s="346">
        <f t="shared" si="34"/>
        <v>0</v>
      </c>
    </row>
    <row r="290" spans="1:20" ht="18" customHeight="1">
      <c r="A290" t="s">
        <v>372</v>
      </c>
      <c r="B290" s="621" t="s">
        <v>227</v>
      </c>
      <c r="C290" s="612"/>
      <c r="D290" s="612"/>
      <c r="E290" s="612"/>
      <c r="F290" s="612"/>
      <c r="G290" s="622"/>
      <c r="H290" s="469">
        <f>SUMIF(E273:E285,"Investment",H273:H285)</f>
        <v>115</v>
      </c>
      <c r="I290" s="470"/>
      <c r="J290" s="360"/>
      <c r="K290" s="360"/>
      <c r="L290" s="360"/>
      <c r="N290" s="346">
        <f t="shared" si="28"/>
        <v>0</v>
      </c>
      <c r="O290" s="346">
        <f t="shared" si="29"/>
        <v>0</v>
      </c>
      <c r="P290" s="346">
        <f t="shared" si="30"/>
        <v>0</v>
      </c>
      <c r="Q290" s="346">
        <f t="shared" si="31"/>
        <v>0</v>
      </c>
      <c r="R290" s="346">
        <f t="shared" si="32"/>
        <v>0</v>
      </c>
      <c r="S290" s="346">
        <f t="shared" si="33"/>
        <v>0</v>
      </c>
      <c r="T290" s="346">
        <f t="shared" si="34"/>
        <v>0</v>
      </c>
    </row>
    <row r="291" spans="1:20" ht="18" customHeight="1">
      <c r="A291" t="s">
        <v>372</v>
      </c>
      <c r="B291" s="471"/>
      <c r="C291" s="472"/>
      <c r="D291" s="472"/>
      <c r="E291" s="472"/>
      <c r="F291" s="472"/>
      <c r="G291" s="473" t="s">
        <v>250</v>
      </c>
      <c r="H291" s="469">
        <f>SUMIF(E273:E285,"Saving Allocation",H273:H285)</f>
        <v>500</v>
      </c>
      <c r="I291" s="470"/>
      <c r="J291" s="360"/>
      <c r="K291" s="360"/>
      <c r="L291" s="360"/>
      <c r="N291" s="346">
        <f t="shared" si="28"/>
        <v>0</v>
      </c>
      <c r="O291" s="346">
        <f t="shared" si="29"/>
        <v>0</v>
      </c>
      <c r="P291" s="346">
        <f t="shared" si="30"/>
        <v>0</v>
      </c>
      <c r="Q291" s="346">
        <f t="shared" si="31"/>
        <v>0</v>
      </c>
      <c r="R291" s="346">
        <f t="shared" si="32"/>
        <v>0</v>
      </c>
      <c r="S291" s="346">
        <f t="shared" si="33"/>
        <v>0</v>
      </c>
      <c r="T291" s="346">
        <f t="shared" si="34"/>
        <v>0</v>
      </c>
    </row>
    <row r="292" spans="1:20" ht="18" customHeight="1">
      <c r="A292" t="s">
        <v>372</v>
      </c>
      <c r="B292" s="621" t="s">
        <v>251</v>
      </c>
      <c r="C292" s="612"/>
      <c r="D292" s="612"/>
      <c r="E292" s="612"/>
      <c r="F292" s="612"/>
      <c r="G292" s="622"/>
      <c r="H292" s="469">
        <f>SUMIF(E273:E285,"Personal Expense",H273:H285)</f>
        <v>142.61000000000001</v>
      </c>
      <c r="I292" s="470"/>
      <c r="J292" s="360"/>
      <c r="K292" s="360"/>
      <c r="L292" s="360"/>
      <c r="N292" s="346">
        <f t="shared" si="28"/>
        <v>0</v>
      </c>
      <c r="O292" s="346">
        <f t="shared" si="29"/>
        <v>0</v>
      </c>
      <c r="P292" s="346">
        <f t="shared" si="30"/>
        <v>0</v>
      </c>
      <c r="Q292" s="346">
        <f t="shared" si="31"/>
        <v>0</v>
      </c>
      <c r="R292" s="346">
        <f t="shared" si="32"/>
        <v>0</v>
      </c>
      <c r="S292" s="346">
        <f t="shared" si="33"/>
        <v>0</v>
      </c>
      <c r="T292" s="346">
        <f t="shared" si="34"/>
        <v>0</v>
      </c>
    </row>
    <row r="293" spans="1:20" ht="18" customHeight="1">
      <c r="A293" t="s">
        <v>372</v>
      </c>
      <c r="B293" s="474"/>
      <c r="C293" s="475"/>
      <c r="D293" s="475"/>
      <c r="E293" s="475"/>
      <c r="F293" s="475"/>
      <c r="G293" s="476" t="s">
        <v>253</v>
      </c>
      <c r="H293" s="477">
        <f>H289+H292+H288+H290+SUMIF(E273:E286,"Debt Repayment",H273:H286)+H291</f>
        <v>1182.6100000000001</v>
      </c>
      <c r="I293" s="478"/>
      <c r="J293" s="360"/>
      <c r="K293" s="360"/>
      <c r="L293" s="360"/>
      <c r="N293" s="346">
        <f t="shared" si="28"/>
        <v>0</v>
      </c>
      <c r="O293" s="346">
        <f t="shared" si="29"/>
        <v>0</v>
      </c>
      <c r="P293" s="346">
        <f t="shared" si="30"/>
        <v>0</v>
      </c>
      <c r="Q293" s="346">
        <f t="shared" si="31"/>
        <v>0</v>
      </c>
      <c r="R293" s="346">
        <f t="shared" si="32"/>
        <v>0</v>
      </c>
      <c r="S293" s="346">
        <f t="shared" si="33"/>
        <v>0</v>
      </c>
      <c r="T293" s="346">
        <f t="shared" si="34"/>
        <v>0</v>
      </c>
    </row>
    <row r="294" spans="1:20" ht="18" customHeight="1">
      <c r="A294" t="s">
        <v>372</v>
      </c>
      <c r="B294" s="582"/>
      <c r="C294" s="583"/>
      <c r="D294" s="583"/>
      <c r="E294" s="583"/>
      <c r="F294" s="583"/>
      <c r="G294" s="583" t="s">
        <v>497</v>
      </c>
      <c r="H294" s="584">
        <f>H287-(H289+H292)-H288-H290-SUMIF(E273:E286,"Debt Repayment",H273:H286)-H291</f>
        <v>-178.36</v>
      </c>
      <c r="I294" s="478"/>
      <c r="J294" s="360"/>
      <c r="K294" s="360"/>
      <c r="L294" s="360"/>
      <c r="N294" s="346">
        <f t="shared" si="28"/>
        <v>0</v>
      </c>
      <c r="O294" s="346">
        <f t="shared" si="29"/>
        <v>0</v>
      </c>
      <c r="P294" s="346">
        <f t="shared" si="30"/>
        <v>0</v>
      </c>
      <c r="Q294" s="346">
        <f t="shared" si="31"/>
        <v>0</v>
      </c>
      <c r="R294" s="346">
        <f t="shared" si="32"/>
        <v>0</v>
      </c>
      <c r="S294" s="346">
        <f t="shared" si="33"/>
        <v>0</v>
      </c>
      <c r="T294" s="346">
        <f t="shared" si="34"/>
        <v>0</v>
      </c>
    </row>
    <row r="295" spans="1:20" ht="18" customHeight="1">
      <c r="B295" s="474"/>
      <c r="C295" s="475"/>
      <c r="D295" s="475"/>
      <c r="E295" s="475"/>
      <c r="F295" s="475"/>
      <c r="G295" s="475" t="s">
        <v>554</v>
      </c>
      <c r="H295" s="505">
        <f>H294+SUMIFS($H:$H,$A:$A,A294,$E:$E,"Saving Allocation")</f>
        <v>321.64</v>
      </c>
      <c r="I295" s="478"/>
      <c r="J295" s="360"/>
      <c r="K295" s="360"/>
      <c r="L295" s="360"/>
      <c r="N295" s="346"/>
      <c r="O295" s="346"/>
      <c r="P295" s="346"/>
      <c r="Q295" s="346"/>
      <c r="R295" s="346"/>
      <c r="S295" s="346"/>
      <c r="T295" s="346"/>
    </row>
    <row r="296" spans="1:20" ht="18" customHeight="1">
      <c r="A296" t="s">
        <v>372</v>
      </c>
      <c r="B296" s="501"/>
      <c r="C296" s="455"/>
      <c r="D296" s="455"/>
      <c r="E296" s="455"/>
      <c r="F296" s="455"/>
      <c r="G296" s="455"/>
      <c r="H296" s="456"/>
      <c r="I296" s="457"/>
      <c r="J296" s="360"/>
      <c r="K296" s="360"/>
      <c r="L296" s="360"/>
      <c r="N296" s="346">
        <f t="shared" si="28"/>
        <v>0</v>
      </c>
      <c r="O296" s="346">
        <f t="shared" si="29"/>
        <v>0</v>
      </c>
      <c r="P296" s="346">
        <f t="shared" si="30"/>
        <v>0</v>
      </c>
      <c r="Q296" s="346">
        <f t="shared" si="31"/>
        <v>0</v>
      </c>
      <c r="R296" s="346">
        <f t="shared" si="32"/>
        <v>0</v>
      </c>
      <c r="S296" s="346">
        <f t="shared" si="33"/>
        <v>0</v>
      </c>
      <c r="T296" s="346">
        <f t="shared" si="34"/>
        <v>0</v>
      </c>
    </row>
    <row r="297" spans="1:20" ht="18" customHeight="1" outlineLevel="1">
      <c r="A297" t="s">
        <v>448</v>
      </c>
      <c r="B297" s="639" t="s">
        <v>448</v>
      </c>
      <c r="C297" s="480">
        <v>46133</v>
      </c>
      <c r="D297" s="481" t="s">
        <v>204</v>
      </c>
      <c r="E297" s="482" t="s">
        <v>207</v>
      </c>
      <c r="F297" s="459" t="s">
        <v>208</v>
      </c>
      <c r="G297" s="459" t="s">
        <v>209</v>
      </c>
      <c r="H297" s="483">
        <v>1259.67</v>
      </c>
      <c r="I297" s="459" t="s">
        <v>215</v>
      </c>
      <c r="J297" s="361"/>
      <c r="K297" s="361"/>
      <c r="L297" s="361"/>
      <c r="N297" s="346">
        <v>0</v>
      </c>
      <c r="O297" s="346">
        <v>0</v>
      </c>
      <c r="P297" s="346">
        <v>0</v>
      </c>
      <c r="Q297" s="346">
        <v>0</v>
      </c>
      <c r="R297" s="346">
        <v>0</v>
      </c>
      <c r="S297" s="346">
        <v>0</v>
      </c>
      <c r="T297" s="346">
        <v>1259.67</v>
      </c>
    </row>
    <row r="298" spans="1:20" ht="18" customHeight="1" outlineLevel="1">
      <c r="A298" t="s">
        <v>448</v>
      </c>
      <c r="B298" s="627"/>
      <c r="C298" s="461">
        <v>46134</v>
      </c>
      <c r="D298" s="462" t="s">
        <v>373</v>
      </c>
      <c r="E298" s="462" t="s">
        <v>503</v>
      </c>
      <c r="F298" s="462" t="s">
        <v>209</v>
      </c>
      <c r="G298" s="462" t="s">
        <v>210</v>
      </c>
      <c r="H298" s="463">
        <v>150</v>
      </c>
      <c r="I298" s="462" t="s">
        <v>34</v>
      </c>
      <c r="J298" s="362"/>
      <c r="K298" s="362"/>
      <c r="L298" s="362"/>
      <c r="N298" s="346">
        <f>IF(OR(E298="Personal Expense",E298="Recurring Expense"),H298,0)</f>
        <v>150</v>
      </c>
      <c r="O298" s="346">
        <f>IF(E298="Internal Transfer",H298,0)</f>
        <v>0</v>
      </c>
      <c r="P298" s="346">
        <f>IF(E298="Saving Allocation",H298,0)</f>
        <v>0</v>
      </c>
      <c r="Q298" s="346">
        <f>IF(E298="Investment",H298,0)</f>
        <v>0</v>
      </c>
      <c r="R298" s="346">
        <f>IF(E298="Debt Repayment",H298,0)</f>
        <v>0</v>
      </c>
      <c r="S298" s="346">
        <f>IF(E298="Joint Account",H298,0)</f>
        <v>0</v>
      </c>
      <c r="T298" s="346">
        <f>IF(E298="Income",H298,0)</f>
        <v>0</v>
      </c>
    </row>
    <row r="299" spans="1:20" ht="18" customHeight="1" outlineLevel="1">
      <c r="A299" t="s">
        <v>448</v>
      </c>
      <c r="B299" s="627"/>
      <c r="C299" s="461">
        <v>46134</v>
      </c>
      <c r="D299" s="465" t="s">
        <v>101</v>
      </c>
      <c r="E299" s="465" t="s">
        <v>211</v>
      </c>
      <c r="F299" s="465" t="s">
        <v>209</v>
      </c>
      <c r="G299" s="465" t="s">
        <v>211</v>
      </c>
      <c r="H299" s="466">
        <v>100</v>
      </c>
      <c r="I299" s="465" t="s">
        <v>216</v>
      </c>
      <c r="J299" s="362"/>
      <c r="K299" s="362"/>
      <c r="L299" s="362"/>
      <c r="N299" s="346">
        <v>0</v>
      </c>
      <c r="O299" s="346">
        <v>0</v>
      </c>
      <c r="P299" s="346">
        <v>0</v>
      </c>
      <c r="Q299" s="346">
        <v>0</v>
      </c>
      <c r="R299" s="346">
        <v>0</v>
      </c>
      <c r="S299" s="346">
        <v>100</v>
      </c>
      <c r="T299" s="346">
        <v>0</v>
      </c>
    </row>
    <row r="300" spans="1:20" ht="18" customHeight="1" outlineLevel="1">
      <c r="A300" t="s">
        <v>448</v>
      </c>
      <c r="B300" s="627"/>
      <c r="C300" s="461">
        <v>46134</v>
      </c>
      <c r="D300" s="465" t="s">
        <v>384</v>
      </c>
      <c r="E300" s="465" t="s">
        <v>218</v>
      </c>
      <c r="F300" s="465" t="s">
        <v>363</v>
      </c>
      <c r="G300" s="465" t="s">
        <v>363</v>
      </c>
      <c r="H300" s="466">
        <v>100</v>
      </c>
      <c r="I300" s="465" t="s">
        <v>218</v>
      </c>
      <c r="J300" s="362"/>
      <c r="K300" s="362"/>
      <c r="L300" s="362"/>
      <c r="N300" s="346">
        <f t="shared" ref="N300:N317" si="35">IF(OR(E300="Personal Expense",E300="Recurring Expense"),H300,0)</f>
        <v>0</v>
      </c>
      <c r="O300" s="346">
        <f t="shared" ref="O300:O317" si="36">IF(E300="Internal Transfer",H300,0)</f>
        <v>0</v>
      </c>
      <c r="P300" s="346">
        <f t="shared" ref="P300:P317" si="37">IF(E300="Saving Allocation",H300,0)</f>
        <v>0</v>
      </c>
      <c r="Q300" s="346">
        <f t="shared" ref="Q300:Q317" si="38">IF(E300="Investment",H300,0)</f>
        <v>100</v>
      </c>
      <c r="R300" s="346">
        <f t="shared" ref="R300:R317" si="39">IF(E300="Debt Repayment",H300,0)</f>
        <v>0</v>
      </c>
      <c r="S300" s="346">
        <f t="shared" ref="S300:S317" si="40">IF(E300="Joint Account",H300,0)</f>
        <v>0</v>
      </c>
      <c r="T300" s="346">
        <f t="shared" ref="T300:T317" si="41">IF(E300="Income",H300,0)</f>
        <v>0</v>
      </c>
    </row>
    <row r="301" spans="1:20" ht="18" customHeight="1" outlineLevel="1">
      <c r="A301" t="s">
        <v>448</v>
      </c>
      <c r="B301" s="627"/>
      <c r="C301" s="461">
        <v>46134</v>
      </c>
      <c r="D301" s="462" t="s">
        <v>102</v>
      </c>
      <c r="E301" s="462" t="s">
        <v>218</v>
      </c>
      <c r="F301" s="462" t="s">
        <v>209</v>
      </c>
      <c r="G301" s="462" t="s">
        <v>212</v>
      </c>
      <c r="H301" s="463">
        <v>15</v>
      </c>
      <c r="I301" s="462" t="s">
        <v>218</v>
      </c>
      <c r="J301" s="362"/>
      <c r="K301" s="362"/>
      <c r="L301" s="362"/>
      <c r="N301" s="346">
        <f t="shared" si="35"/>
        <v>0</v>
      </c>
      <c r="O301" s="346">
        <f t="shared" si="36"/>
        <v>0</v>
      </c>
      <c r="P301" s="346">
        <f t="shared" si="37"/>
        <v>0</v>
      </c>
      <c r="Q301" s="346">
        <f t="shared" si="38"/>
        <v>15</v>
      </c>
      <c r="R301" s="346">
        <f t="shared" si="39"/>
        <v>0</v>
      </c>
      <c r="S301" s="346">
        <f t="shared" si="40"/>
        <v>0</v>
      </c>
      <c r="T301" s="346">
        <f t="shared" si="41"/>
        <v>0</v>
      </c>
    </row>
    <row r="302" spans="1:20" ht="18" customHeight="1" outlineLevel="1">
      <c r="A302" t="s">
        <v>448</v>
      </c>
      <c r="B302" s="627"/>
      <c r="C302" s="461">
        <v>46134</v>
      </c>
      <c r="D302" s="462" t="s">
        <v>450</v>
      </c>
      <c r="E302" s="462" t="s">
        <v>491</v>
      </c>
      <c r="F302" s="462" t="s">
        <v>209</v>
      </c>
      <c r="G302" s="462" t="s">
        <v>353</v>
      </c>
      <c r="H302" s="463">
        <v>100</v>
      </c>
      <c r="I302" s="462" t="s">
        <v>375</v>
      </c>
      <c r="J302" s="362"/>
      <c r="K302" s="362"/>
      <c r="L302" s="362"/>
      <c r="N302" s="346">
        <f t="shared" si="35"/>
        <v>0</v>
      </c>
      <c r="O302" s="346">
        <f t="shared" si="36"/>
        <v>100</v>
      </c>
      <c r="P302" s="346">
        <f t="shared" si="37"/>
        <v>0</v>
      </c>
      <c r="Q302" s="346">
        <f t="shared" si="38"/>
        <v>0</v>
      </c>
      <c r="R302" s="346">
        <f t="shared" si="39"/>
        <v>0</v>
      </c>
      <c r="S302" s="346">
        <f t="shared" si="40"/>
        <v>0</v>
      </c>
      <c r="T302" s="346">
        <f t="shared" si="41"/>
        <v>0</v>
      </c>
    </row>
    <row r="303" spans="1:20" ht="18" customHeight="1" outlineLevel="1">
      <c r="A303" t="s">
        <v>448</v>
      </c>
      <c r="B303" s="627"/>
      <c r="C303" s="461">
        <v>46134</v>
      </c>
      <c r="D303" s="380" t="s">
        <v>356</v>
      </c>
      <c r="E303" s="462" t="s">
        <v>478</v>
      </c>
      <c r="F303" s="462" t="s">
        <v>209</v>
      </c>
      <c r="G303" s="462" t="s">
        <v>340</v>
      </c>
      <c r="H303" s="463">
        <v>600</v>
      </c>
      <c r="I303" s="462" t="s">
        <v>224</v>
      </c>
      <c r="J303" s="362"/>
      <c r="K303" s="362"/>
      <c r="L303" s="362"/>
      <c r="N303" s="346">
        <f t="shared" si="35"/>
        <v>0</v>
      </c>
      <c r="O303" s="346">
        <f t="shared" si="36"/>
        <v>0</v>
      </c>
      <c r="P303" s="346">
        <f t="shared" si="37"/>
        <v>600</v>
      </c>
      <c r="Q303" s="346">
        <f t="shared" si="38"/>
        <v>0</v>
      </c>
      <c r="R303" s="346">
        <f t="shared" si="39"/>
        <v>0</v>
      </c>
      <c r="S303" s="346">
        <f t="shared" si="40"/>
        <v>0</v>
      </c>
      <c r="T303" s="346">
        <f t="shared" si="41"/>
        <v>0</v>
      </c>
    </row>
    <row r="304" spans="1:20" ht="18" customHeight="1" outlineLevel="1">
      <c r="A304" t="s">
        <v>448</v>
      </c>
      <c r="B304" s="627"/>
      <c r="C304" s="461">
        <v>46135</v>
      </c>
      <c r="D304" s="462" t="s">
        <v>294</v>
      </c>
      <c r="E304" s="462" t="s">
        <v>504</v>
      </c>
      <c r="F304" s="462" t="s">
        <v>209</v>
      </c>
      <c r="G304" s="462" t="s">
        <v>222</v>
      </c>
      <c r="H304" s="463">
        <v>66.14</v>
      </c>
      <c r="I304" s="462" t="s">
        <v>220</v>
      </c>
      <c r="J304" s="362"/>
      <c r="K304" s="362"/>
      <c r="L304" s="362"/>
      <c r="N304" s="346">
        <f t="shared" si="35"/>
        <v>66.14</v>
      </c>
      <c r="O304" s="346">
        <f t="shared" si="36"/>
        <v>0</v>
      </c>
      <c r="P304" s="346">
        <f t="shared" si="37"/>
        <v>0</v>
      </c>
      <c r="Q304" s="346">
        <f t="shared" si="38"/>
        <v>0</v>
      </c>
      <c r="R304" s="346">
        <f t="shared" si="39"/>
        <v>0</v>
      </c>
      <c r="S304" s="346">
        <f t="shared" si="40"/>
        <v>0</v>
      </c>
      <c r="T304" s="346">
        <f t="shared" si="41"/>
        <v>0</v>
      </c>
    </row>
    <row r="305" spans="1:20" ht="18" customHeight="1" outlineLevel="1">
      <c r="A305" t="s">
        <v>448</v>
      </c>
      <c r="B305" s="627"/>
      <c r="C305" s="461">
        <v>46135</v>
      </c>
      <c r="D305" s="462" t="s">
        <v>456</v>
      </c>
      <c r="E305" s="462" t="s">
        <v>504</v>
      </c>
      <c r="F305" s="462" t="s">
        <v>209</v>
      </c>
      <c r="G305" s="462" t="s">
        <v>222</v>
      </c>
      <c r="H305" s="463">
        <v>1.5</v>
      </c>
      <c r="I305" s="462" t="s">
        <v>220</v>
      </c>
      <c r="J305" s="362"/>
      <c r="K305" s="362"/>
      <c r="L305" s="362"/>
      <c r="N305" s="346">
        <f t="shared" si="35"/>
        <v>1.5</v>
      </c>
      <c r="O305" s="346">
        <f t="shared" si="36"/>
        <v>0</v>
      </c>
      <c r="P305" s="346">
        <f t="shared" si="37"/>
        <v>0</v>
      </c>
      <c r="Q305" s="346">
        <f t="shared" si="38"/>
        <v>0</v>
      </c>
      <c r="R305" s="346">
        <f t="shared" si="39"/>
        <v>0</v>
      </c>
      <c r="S305" s="346">
        <f t="shared" si="40"/>
        <v>0</v>
      </c>
      <c r="T305" s="346">
        <f t="shared" si="41"/>
        <v>0</v>
      </c>
    </row>
    <row r="306" spans="1:20" ht="18" customHeight="1" outlineLevel="1">
      <c r="A306" t="s">
        <v>448</v>
      </c>
      <c r="B306" s="627"/>
      <c r="C306" s="461">
        <v>46138</v>
      </c>
      <c r="D306" s="462" t="s">
        <v>470</v>
      </c>
      <c r="E306" s="462" t="s">
        <v>503</v>
      </c>
      <c r="F306" s="462" t="s">
        <v>209</v>
      </c>
      <c r="G306" s="462" t="s">
        <v>222</v>
      </c>
      <c r="H306" s="463">
        <v>22.99</v>
      </c>
      <c r="I306" s="462" t="s">
        <v>44</v>
      </c>
      <c r="J306" s="362"/>
      <c r="K306" s="362"/>
      <c r="L306" s="362"/>
      <c r="N306" s="346">
        <f t="shared" si="35"/>
        <v>22.99</v>
      </c>
      <c r="O306" s="346">
        <f t="shared" si="36"/>
        <v>0</v>
      </c>
      <c r="P306" s="346">
        <f t="shared" si="37"/>
        <v>0</v>
      </c>
      <c r="Q306" s="346">
        <f t="shared" si="38"/>
        <v>0</v>
      </c>
      <c r="R306" s="346">
        <f t="shared" si="39"/>
        <v>0</v>
      </c>
      <c r="S306" s="346">
        <f t="shared" si="40"/>
        <v>0</v>
      </c>
      <c r="T306" s="346">
        <f t="shared" si="41"/>
        <v>0</v>
      </c>
    </row>
    <row r="307" spans="1:20" ht="18" customHeight="1" outlineLevel="1">
      <c r="A307" t="s">
        <v>448</v>
      </c>
      <c r="B307" s="627"/>
      <c r="C307" s="461">
        <v>46138</v>
      </c>
      <c r="D307" s="462" t="s">
        <v>474</v>
      </c>
      <c r="E307" s="462" t="s">
        <v>503</v>
      </c>
      <c r="F307" s="462" t="s">
        <v>209</v>
      </c>
      <c r="G307" s="462" t="s">
        <v>222</v>
      </c>
      <c r="H307" s="463">
        <v>34</v>
      </c>
      <c r="I307" s="462" t="s">
        <v>44</v>
      </c>
      <c r="J307" s="362"/>
      <c r="K307" s="362"/>
      <c r="L307" s="362"/>
      <c r="N307" s="346">
        <f t="shared" si="35"/>
        <v>34</v>
      </c>
      <c r="O307" s="346">
        <f t="shared" si="36"/>
        <v>0</v>
      </c>
      <c r="P307" s="346">
        <f t="shared" si="37"/>
        <v>0</v>
      </c>
      <c r="Q307" s="346">
        <f t="shared" si="38"/>
        <v>0</v>
      </c>
      <c r="R307" s="346">
        <f t="shared" si="39"/>
        <v>0</v>
      </c>
      <c r="S307" s="346">
        <f t="shared" si="40"/>
        <v>0</v>
      </c>
      <c r="T307" s="346">
        <f t="shared" si="41"/>
        <v>0</v>
      </c>
    </row>
    <row r="308" spans="1:20" ht="18" customHeight="1" outlineLevel="1">
      <c r="A308" t="s">
        <v>448</v>
      </c>
      <c r="B308" s="627"/>
      <c r="C308" s="461">
        <v>46138</v>
      </c>
      <c r="D308" s="462" t="s">
        <v>492</v>
      </c>
      <c r="E308" s="462" t="s">
        <v>211</v>
      </c>
      <c r="F308" s="462" t="s">
        <v>209</v>
      </c>
      <c r="G308" s="462" t="s">
        <v>211</v>
      </c>
      <c r="H308" s="463">
        <v>57.74</v>
      </c>
      <c r="I308" s="462" t="s">
        <v>216</v>
      </c>
      <c r="J308" s="362"/>
      <c r="K308" s="362"/>
      <c r="L308" s="362"/>
      <c r="N308" s="346">
        <f t="shared" si="35"/>
        <v>0</v>
      </c>
      <c r="O308" s="346">
        <f t="shared" si="36"/>
        <v>0</v>
      </c>
      <c r="P308" s="346">
        <f t="shared" si="37"/>
        <v>0</v>
      </c>
      <c r="Q308" s="346">
        <f t="shared" si="38"/>
        <v>0</v>
      </c>
      <c r="R308" s="346">
        <f t="shared" si="39"/>
        <v>0</v>
      </c>
      <c r="S308" s="346">
        <f t="shared" si="40"/>
        <v>57.74</v>
      </c>
      <c r="T308" s="346">
        <f t="shared" si="41"/>
        <v>0</v>
      </c>
    </row>
    <row r="309" spans="1:20" ht="18" customHeight="1" outlineLevel="1">
      <c r="A309" t="s">
        <v>448</v>
      </c>
      <c r="B309" s="640"/>
      <c r="C309" s="461"/>
      <c r="D309" s="462"/>
      <c r="E309" s="462"/>
      <c r="F309" s="462"/>
      <c r="G309" s="462"/>
      <c r="H309" s="463"/>
      <c r="I309" s="462"/>
      <c r="J309" s="362"/>
      <c r="K309" s="362"/>
      <c r="L309" s="362"/>
      <c r="N309" s="346">
        <f t="shared" si="35"/>
        <v>0</v>
      </c>
      <c r="O309" s="346">
        <f t="shared" si="36"/>
        <v>0</v>
      </c>
      <c r="P309" s="346">
        <f t="shared" si="37"/>
        <v>0</v>
      </c>
      <c r="Q309" s="346">
        <f t="shared" si="38"/>
        <v>0</v>
      </c>
      <c r="R309" s="346">
        <f t="shared" si="39"/>
        <v>0</v>
      </c>
      <c r="S309" s="346">
        <f t="shared" si="40"/>
        <v>0</v>
      </c>
      <c r="T309" s="346">
        <f t="shared" si="41"/>
        <v>0</v>
      </c>
    </row>
    <row r="310" spans="1:20" ht="18" customHeight="1">
      <c r="A310" t="s">
        <v>448</v>
      </c>
      <c r="B310" s="635" t="s">
        <v>254</v>
      </c>
      <c r="C310" s="612"/>
      <c r="D310" s="612"/>
      <c r="E310" s="612"/>
      <c r="F310" s="612"/>
      <c r="G310" s="622"/>
      <c r="H310" s="460">
        <f>SUMIF(E297:E308,"Income",H297:H308)</f>
        <v>1259.67</v>
      </c>
      <c r="I310" s="468"/>
      <c r="J310" s="362"/>
      <c r="K310" s="362"/>
      <c r="L310" s="362"/>
      <c r="N310" s="346">
        <f t="shared" si="35"/>
        <v>0</v>
      </c>
      <c r="O310" s="346">
        <f t="shared" si="36"/>
        <v>0</v>
      </c>
      <c r="P310" s="346">
        <f t="shared" si="37"/>
        <v>0</v>
      </c>
      <c r="Q310" s="346">
        <f t="shared" si="38"/>
        <v>0</v>
      </c>
      <c r="R310" s="346">
        <f t="shared" si="39"/>
        <v>0</v>
      </c>
      <c r="S310" s="346">
        <f t="shared" si="40"/>
        <v>0</v>
      </c>
      <c r="T310" s="346">
        <f t="shared" si="41"/>
        <v>0</v>
      </c>
    </row>
    <row r="311" spans="1:20" ht="18" customHeight="1">
      <c r="A311" t="s">
        <v>448</v>
      </c>
      <c r="B311" s="621" t="s">
        <v>354</v>
      </c>
      <c r="C311" s="612"/>
      <c r="D311" s="612"/>
      <c r="E311" s="612"/>
      <c r="F311" s="612"/>
      <c r="G311" s="622"/>
      <c r="H311" s="469">
        <f>SUMIF(E297:E308,"Joint Account",H297:H308)</f>
        <v>157.74</v>
      </c>
      <c r="I311" s="470"/>
      <c r="J311" s="360"/>
      <c r="K311" s="360"/>
      <c r="L311" s="360"/>
      <c r="N311" s="346">
        <f t="shared" si="35"/>
        <v>0</v>
      </c>
      <c r="O311" s="346">
        <f t="shared" si="36"/>
        <v>0</v>
      </c>
      <c r="P311" s="346">
        <f t="shared" si="37"/>
        <v>0</v>
      </c>
      <c r="Q311" s="346">
        <f t="shared" si="38"/>
        <v>0</v>
      </c>
      <c r="R311" s="346">
        <f t="shared" si="39"/>
        <v>0</v>
      </c>
      <c r="S311" s="346">
        <f t="shared" si="40"/>
        <v>0</v>
      </c>
      <c r="T311" s="346">
        <f t="shared" si="41"/>
        <v>0</v>
      </c>
    </row>
    <row r="312" spans="1:20" ht="18" customHeight="1">
      <c r="A312" t="s">
        <v>448</v>
      </c>
      <c r="B312" s="621" t="s">
        <v>226</v>
      </c>
      <c r="C312" s="612"/>
      <c r="D312" s="612"/>
      <c r="E312" s="612"/>
      <c r="F312" s="612"/>
      <c r="G312" s="622"/>
      <c r="H312" s="469">
        <f>SUMIF(E297:E308,"Recurring Expense",H297:H308)</f>
        <v>206.99</v>
      </c>
      <c r="I312" s="470"/>
      <c r="J312" s="360"/>
      <c r="K312" s="360"/>
      <c r="L312" s="360"/>
      <c r="N312" s="346">
        <f t="shared" si="35"/>
        <v>0</v>
      </c>
      <c r="O312" s="346">
        <f t="shared" si="36"/>
        <v>0</v>
      </c>
      <c r="P312" s="346">
        <f t="shared" si="37"/>
        <v>0</v>
      </c>
      <c r="Q312" s="346">
        <f t="shared" si="38"/>
        <v>0</v>
      </c>
      <c r="R312" s="346">
        <f t="shared" si="39"/>
        <v>0</v>
      </c>
      <c r="S312" s="346">
        <f t="shared" si="40"/>
        <v>0</v>
      </c>
      <c r="T312" s="346">
        <f t="shared" si="41"/>
        <v>0</v>
      </c>
    </row>
    <row r="313" spans="1:20" ht="18" customHeight="1">
      <c r="A313" t="s">
        <v>448</v>
      </c>
      <c r="B313" s="621" t="s">
        <v>227</v>
      </c>
      <c r="C313" s="612"/>
      <c r="D313" s="612"/>
      <c r="E313" s="612"/>
      <c r="F313" s="612"/>
      <c r="G313" s="622"/>
      <c r="H313" s="469">
        <f>SUMIF(E297:E308,"Investment",H297:H308)</f>
        <v>115</v>
      </c>
      <c r="I313" s="470"/>
      <c r="J313" s="360"/>
      <c r="K313" s="360"/>
      <c r="L313" s="360"/>
      <c r="N313" s="346">
        <f t="shared" si="35"/>
        <v>0</v>
      </c>
      <c r="O313" s="346">
        <f t="shared" si="36"/>
        <v>0</v>
      </c>
      <c r="P313" s="346">
        <f t="shared" si="37"/>
        <v>0</v>
      </c>
      <c r="Q313" s="346">
        <f t="shared" si="38"/>
        <v>0</v>
      </c>
      <c r="R313" s="346">
        <f t="shared" si="39"/>
        <v>0</v>
      </c>
      <c r="S313" s="346">
        <f t="shared" si="40"/>
        <v>0</v>
      </c>
      <c r="T313" s="346">
        <f t="shared" si="41"/>
        <v>0</v>
      </c>
    </row>
    <row r="314" spans="1:20" ht="18" customHeight="1">
      <c r="A314" t="s">
        <v>448</v>
      </c>
      <c r="B314" s="471"/>
      <c r="C314" s="472"/>
      <c r="D314" s="472"/>
      <c r="E314" s="472"/>
      <c r="F314" s="472"/>
      <c r="G314" s="473" t="s">
        <v>250</v>
      </c>
      <c r="H314" s="469">
        <f>SUMIF(E297:E308,"Saving Allocation",H297:H308)</f>
        <v>600</v>
      </c>
      <c r="I314" s="470"/>
      <c r="J314" s="360"/>
      <c r="K314" s="360"/>
      <c r="L314" s="360"/>
      <c r="N314" s="346">
        <f t="shared" si="35"/>
        <v>0</v>
      </c>
      <c r="O314" s="346">
        <f t="shared" si="36"/>
        <v>0</v>
      </c>
      <c r="P314" s="346">
        <f t="shared" si="37"/>
        <v>0</v>
      </c>
      <c r="Q314" s="346">
        <f t="shared" si="38"/>
        <v>0</v>
      </c>
      <c r="R314" s="346">
        <f t="shared" si="39"/>
        <v>0</v>
      </c>
      <c r="S314" s="346">
        <f t="shared" si="40"/>
        <v>0</v>
      </c>
      <c r="T314" s="346">
        <f t="shared" si="41"/>
        <v>0</v>
      </c>
    </row>
    <row r="315" spans="1:20" ht="18" customHeight="1">
      <c r="A315" t="s">
        <v>448</v>
      </c>
      <c r="B315" s="621" t="s">
        <v>251</v>
      </c>
      <c r="C315" s="612"/>
      <c r="D315" s="612"/>
      <c r="E315" s="612"/>
      <c r="F315" s="612"/>
      <c r="G315" s="622"/>
      <c r="H315" s="469">
        <f>SUMIF(E297:E308,"Personal Expense",H297:H308)</f>
        <v>67.64</v>
      </c>
      <c r="I315" s="470"/>
      <c r="J315" s="360"/>
      <c r="K315" s="360"/>
      <c r="L315" s="360"/>
      <c r="N315" s="346">
        <f t="shared" si="35"/>
        <v>0</v>
      </c>
      <c r="O315" s="346">
        <f t="shared" si="36"/>
        <v>0</v>
      </c>
      <c r="P315" s="346">
        <f t="shared" si="37"/>
        <v>0</v>
      </c>
      <c r="Q315" s="346">
        <f t="shared" si="38"/>
        <v>0</v>
      </c>
      <c r="R315" s="346">
        <f t="shared" si="39"/>
        <v>0</v>
      </c>
      <c r="S315" s="346">
        <f t="shared" si="40"/>
        <v>0</v>
      </c>
      <c r="T315" s="346">
        <f t="shared" si="41"/>
        <v>0</v>
      </c>
    </row>
    <row r="316" spans="1:20" ht="18" customHeight="1">
      <c r="A316" t="s">
        <v>448</v>
      </c>
      <c r="B316" s="474"/>
      <c r="C316" s="475"/>
      <c r="D316" s="475"/>
      <c r="E316" s="475"/>
      <c r="F316" s="475"/>
      <c r="G316" s="476" t="s">
        <v>253</v>
      </c>
      <c r="H316" s="477">
        <f>H312+H315+H311+H313+SUMIF(E297:E308,"Debt Repayment",H297:H308)+H314</f>
        <v>1147.3699999999999</v>
      </c>
      <c r="I316" s="478"/>
      <c r="J316" s="360"/>
      <c r="K316" s="360"/>
      <c r="L316" s="360"/>
      <c r="N316" s="346">
        <f t="shared" si="35"/>
        <v>0</v>
      </c>
      <c r="O316" s="346">
        <f t="shared" si="36"/>
        <v>0</v>
      </c>
      <c r="P316" s="346">
        <f t="shared" si="37"/>
        <v>0</v>
      </c>
      <c r="Q316" s="346">
        <f t="shared" si="38"/>
        <v>0</v>
      </c>
      <c r="R316" s="346">
        <f t="shared" si="39"/>
        <v>0</v>
      </c>
      <c r="S316" s="346">
        <f t="shared" si="40"/>
        <v>0</v>
      </c>
      <c r="T316" s="346">
        <f t="shared" si="41"/>
        <v>0</v>
      </c>
    </row>
    <row r="317" spans="1:20" ht="18" customHeight="1">
      <c r="A317" t="s">
        <v>448</v>
      </c>
      <c r="B317" s="582"/>
      <c r="C317" s="583"/>
      <c r="D317" s="583"/>
      <c r="E317" s="583"/>
      <c r="F317" s="583"/>
      <c r="G317" s="583" t="s">
        <v>497</v>
      </c>
      <c r="H317" s="584">
        <f>H310-(H312+H315)-H311-H313-SUMIF(E297:E308,"Debt Repayment",H297:H308)-H314</f>
        <v>112.30000000000007</v>
      </c>
      <c r="I317" s="478"/>
      <c r="J317" s="360"/>
      <c r="K317" s="360"/>
      <c r="L317" s="360"/>
      <c r="N317" s="346">
        <f t="shared" si="35"/>
        <v>0</v>
      </c>
      <c r="O317" s="346">
        <f t="shared" si="36"/>
        <v>0</v>
      </c>
      <c r="P317" s="346">
        <f t="shared" si="37"/>
        <v>0</v>
      </c>
      <c r="Q317" s="346">
        <f t="shared" si="38"/>
        <v>0</v>
      </c>
      <c r="R317" s="346">
        <f t="shared" si="39"/>
        <v>0</v>
      </c>
      <c r="S317" s="346">
        <f t="shared" si="40"/>
        <v>0</v>
      </c>
      <c r="T317" s="346">
        <f t="shared" si="41"/>
        <v>0</v>
      </c>
    </row>
    <row r="318" spans="1:20" ht="18" customHeight="1">
      <c r="B318" s="474"/>
      <c r="C318" s="475"/>
      <c r="D318" s="475"/>
      <c r="E318" s="475"/>
      <c r="F318" s="475"/>
      <c r="G318" s="475" t="s">
        <v>554</v>
      </c>
      <c r="H318" s="479">
        <f>H317+SUMIFS($H:$H,$A:$A,A317,$E:$E,"Saving Allocation")</f>
        <v>712.30000000000007</v>
      </c>
      <c r="I318" s="478"/>
      <c r="J318" s="360"/>
      <c r="K318" s="360"/>
      <c r="L318" s="360"/>
      <c r="N318" s="346"/>
      <c r="O318" s="346"/>
      <c r="P318" s="346"/>
      <c r="Q318" s="346"/>
      <c r="R318" s="346"/>
      <c r="S318" s="346"/>
      <c r="T318" s="346"/>
    </row>
    <row r="319" spans="1:20" ht="18" customHeight="1">
      <c r="A319" t="s">
        <v>448</v>
      </c>
      <c r="B319" s="484"/>
      <c r="C319" s="484"/>
      <c r="D319" s="484"/>
      <c r="E319" s="484"/>
      <c r="F319" s="484"/>
      <c r="G319" s="484"/>
      <c r="H319" s="484"/>
      <c r="I319" s="484"/>
      <c r="J319" s="363"/>
      <c r="K319" s="363"/>
      <c r="L319" s="363"/>
      <c r="N319" s="348"/>
      <c r="O319" s="348"/>
      <c r="P319" s="348"/>
      <c r="Q319" s="348"/>
      <c r="R319" s="348"/>
      <c r="S319" s="348"/>
      <c r="T319" s="348"/>
    </row>
    <row r="320" spans="1:20" ht="18" customHeight="1">
      <c r="A320" t="s">
        <v>506</v>
      </c>
      <c r="B320" s="623" t="s">
        <v>506</v>
      </c>
      <c r="C320" s="485">
        <v>46140</v>
      </c>
      <c r="D320" s="486" t="s">
        <v>204</v>
      </c>
      <c r="E320" s="486" t="s">
        <v>207</v>
      </c>
      <c r="F320" s="486" t="s">
        <v>208</v>
      </c>
      <c r="G320" s="486" t="s">
        <v>209</v>
      </c>
      <c r="H320" s="487">
        <v>1256.75</v>
      </c>
      <c r="I320" s="486" t="s">
        <v>215</v>
      </c>
      <c r="J320" s="60"/>
      <c r="K320" s="60"/>
      <c r="L320" s="60"/>
      <c r="N320" s="152">
        <f t="shared" ref="N320:N333" si="42">IF(OR(E320="Personal Expense",E320="Recurring Expense"),H320,0)</f>
        <v>0</v>
      </c>
      <c r="O320" s="152">
        <f t="shared" ref="O320:O333" si="43">IF(E320="Internal Transfer",H320,0)</f>
        <v>0</v>
      </c>
      <c r="P320" s="152">
        <f t="shared" ref="P320:P333" si="44">IF(E320="Saving Allocation",H320,0)</f>
        <v>0</v>
      </c>
      <c r="Q320" s="152">
        <f t="shared" ref="Q320:Q333" si="45">IF(E320="Investment",H320,0)</f>
        <v>0</v>
      </c>
      <c r="R320" s="152">
        <f t="shared" ref="R320:R333" si="46">IF(E320="Debt Repayment",H320,0)</f>
        <v>0</v>
      </c>
      <c r="S320" s="152">
        <f t="shared" ref="S320:S333" si="47">IF(E320="Joint Account",H320,0)</f>
        <v>0</v>
      </c>
      <c r="T320" s="152">
        <f t="shared" ref="T320:T333" si="48">IF(E320="Income",H320,0)</f>
        <v>1256.75</v>
      </c>
    </row>
    <row r="321" spans="1:20" ht="18" customHeight="1">
      <c r="A321" t="s">
        <v>506</v>
      </c>
      <c r="B321" s="624"/>
      <c r="C321" s="488">
        <v>46140</v>
      </c>
      <c r="D321" s="489" t="s">
        <v>507</v>
      </c>
      <c r="E321" s="489" t="s">
        <v>218</v>
      </c>
      <c r="F321" s="489" t="s">
        <v>353</v>
      </c>
      <c r="G321" s="489" t="s">
        <v>363</v>
      </c>
      <c r="H321" s="490">
        <v>35</v>
      </c>
      <c r="I321" s="489" t="s">
        <v>218</v>
      </c>
      <c r="J321" s="60"/>
      <c r="K321" s="60"/>
      <c r="L321" s="60"/>
      <c r="N321" s="152">
        <f t="shared" si="42"/>
        <v>0</v>
      </c>
      <c r="O321" s="152">
        <f t="shared" si="43"/>
        <v>0</v>
      </c>
      <c r="P321" s="152">
        <f t="shared" si="44"/>
        <v>0</v>
      </c>
      <c r="Q321" s="152">
        <f t="shared" si="45"/>
        <v>35</v>
      </c>
      <c r="R321" s="152">
        <f t="shared" si="46"/>
        <v>0</v>
      </c>
      <c r="S321" s="152">
        <f t="shared" si="47"/>
        <v>0</v>
      </c>
      <c r="T321" s="152">
        <f t="shared" si="48"/>
        <v>0</v>
      </c>
    </row>
    <row r="322" spans="1:20" ht="18" customHeight="1">
      <c r="A322" t="s">
        <v>506</v>
      </c>
      <c r="B322" s="624"/>
      <c r="C322" s="488">
        <v>46140</v>
      </c>
      <c r="D322" s="489" t="s">
        <v>508</v>
      </c>
      <c r="E322" s="489" t="s">
        <v>218</v>
      </c>
      <c r="F322" s="489" t="s">
        <v>353</v>
      </c>
      <c r="G322" s="489" t="s">
        <v>212</v>
      </c>
      <c r="H322" s="490">
        <v>15</v>
      </c>
      <c r="I322" s="489" t="s">
        <v>218</v>
      </c>
      <c r="J322" s="60"/>
      <c r="K322" s="60"/>
      <c r="L322" s="60"/>
      <c r="N322" s="152">
        <f t="shared" si="42"/>
        <v>0</v>
      </c>
      <c r="O322" s="152">
        <f t="shared" si="43"/>
        <v>0</v>
      </c>
      <c r="P322" s="152">
        <f t="shared" si="44"/>
        <v>0</v>
      </c>
      <c r="Q322" s="152">
        <f t="shared" si="45"/>
        <v>15</v>
      </c>
      <c r="R322" s="152">
        <f t="shared" si="46"/>
        <v>0</v>
      </c>
      <c r="S322" s="152">
        <f t="shared" si="47"/>
        <v>0</v>
      </c>
      <c r="T322" s="152">
        <f t="shared" si="48"/>
        <v>0</v>
      </c>
    </row>
    <row r="323" spans="1:20" ht="18" customHeight="1">
      <c r="A323" t="s">
        <v>506</v>
      </c>
      <c r="B323" s="624"/>
      <c r="C323" s="488">
        <v>46140</v>
      </c>
      <c r="D323" s="462" t="s">
        <v>373</v>
      </c>
      <c r="E323" s="489" t="s">
        <v>503</v>
      </c>
      <c r="F323" s="462" t="s">
        <v>209</v>
      </c>
      <c r="G323" s="462" t="s">
        <v>210</v>
      </c>
      <c r="H323" s="491">
        <v>150</v>
      </c>
      <c r="I323" s="462" t="s">
        <v>34</v>
      </c>
      <c r="J323" s="60"/>
      <c r="K323" s="60"/>
      <c r="L323" s="60"/>
      <c r="N323" s="152">
        <f t="shared" si="42"/>
        <v>150</v>
      </c>
      <c r="O323" s="152">
        <f t="shared" si="43"/>
        <v>0</v>
      </c>
      <c r="P323" s="152">
        <f t="shared" si="44"/>
        <v>0</v>
      </c>
      <c r="Q323" s="152">
        <f t="shared" si="45"/>
        <v>0</v>
      </c>
      <c r="R323" s="152">
        <f t="shared" si="46"/>
        <v>0</v>
      </c>
      <c r="S323" s="152">
        <f t="shared" si="47"/>
        <v>0</v>
      </c>
      <c r="T323" s="152">
        <f t="shared" si="48"/>
        <v>0</v>
      </c>
    </row>
    <row r="324" spans="1:20" ht="18" customHeight="1">
      <c r="A324" t="s">
        <v>506</v>
      </c>
      <c r="B324" s="624"/>
      <c r="C324" s="488">
        <v>46140</v>
      </c>
      <c r="D324" s="489" t="s">
        <v>356</v>
      </c>
      <c r="E324" s="489" t="s">
        <v>478</v>
      </c>
      <c r="F324" s="489" t="s">
        <v>209</v>
      </c>
      <c r="G324" s="489" t="s">
        <v>340</v>
      </c>
      <c r="H324" s="490">
        <v>772.03</v>
      </c>
      <c r="I324" s="489" t="s">
        <v>224</v>
      </c>
      <c r="J324" s="60"/>
      <c r="K324" s="60"/>
      <c r="L324" s="60"/>
      <c r="N324" s="152">
        <f t="shared" si="42"/>
        <v>0</v>
      </c>
      <c r="O324" s="152">
        <f t="shared" si="43"/>
        <v>0</v>
      </c>
      <c r="P324" s="152">
        <f t="shared" si="44"/>
        <v>772.03</v>
      </c>
      <c r="Q324" s="152">
        <f t="shared" si="45"/>
        <v>0</v>
      </c>
      <c r="R324" s="152">
        <f t="shared" si="46"/>
        <v>0</v>
      </c>
      <c r="S324" s="152">
        <f t="shared" si="47"/>
        <v>0</v>
      </c>
      <c r="T324" s="152">
        <f t="shared" si="48"/>
        <v>0</v>
      </c>
    </row>
    <row r="325" spans="1:20" ht="18" customHeight="1">
      <c r="A325" t="s">
        <v>506</v>
      </c>
      <c r="B325" s="624"/>
      <c r="C325" s="488">
        <v>46140</v>
      </c>
      <c r="D325" s="489" t="s">
        <v>510</v>
      </c>
      <c r="E325" s="489" t="s">
        <v>491</v>
      </c>
      <c r="F325" s="489" t="s">
        <v>209</v>
      </c>
      <c r="G325" s="489" t="s">
        <v>85</v>
      </c>
      <c r="H325" s="490">
        <v>55.5</v>
      </c>
      <c r="I325" s="489" t="s">
        <v>225</v>
      </c>
      <c r="J325" s="60"/>
      <c r="K325" s="60"/>
      <c r="L325" s="60"/>
      <c r="N325" s="152">
        <f t="shared" si="42"/>
        <v>0</v>
      </c>
      <c r="O325" s="152">
        <f t="shared" si="43"/>
        <v>55.5</v>
      </c>
      <c r="P325" s="152">
        <f t="shared" si="44"/>
        <v>0</v>
      </c>
      <c r="Q325" s="152">
        <f t="shared" si="45"/>
        <v>0</v>
      </c>
      <c r="R325" s="152">
        <f t="shared" si="46"/>
        <v>0</v>
      </c>
      <c r="S325" s="152">
        <f t="shared" si="47"/>
        <v>0</v>
      </c>
      <c r="T325" s="152">
        <f t="shared" si="48"/>
        <v>0</v>
      </c>
    </row>
    <row r="326" spans="1:20" ht="18" customHeight="1">
      <c r="A326" t="s">
        <v>506</v>
      </c>
      <c r="B326" s="624"/>
      <c r="C326" s="488">
        <v>46140</v>
      </c>
      <c r="D326" s="489" t="s">
        <v>52</v>
      </c>
      <c r="E326" s="502" t="s">
        <v>503</v>
      </c>
      <c r="F326" s="489" t="s">
        <v>209</v>
      </c>
      <c r="G326" s="489" t="s">
        <v>222</v>
      </c>
      <c r="H326" s="490">
        <v>14.99</v>
      </c>
      <c r="I326" s="489" t="s">
        <v>44</v>
      </c>
      <c r="J326" s="60"/>
      <c r="K326" s="60"/>
      <c r="L326" s="60"/>
      <c r="N326" s="152">
        <f t="shared" si="42"/>
        <v>14.99</v>
      </c>
      <c r="O326" s="152">
        <f t="shared" si="43"/>
        <v>0</v>
      </c>
      <c r="P326" s="152">
        <f t="shared" si="44"/>
        <v>0</v>
      </c>
      <c r="Q326" s="152">
        <f t="shared" si="45"/>
        <v>0</v>
      </c>
      <c r="R326" s="152">
        <f t="shared" si="46"/>
        <v>0</v>
      </c>
      <c r="S326" s="152">
        <f t="shared" si="47"/>
        <v>0</v>
      </c>
      <c r="T326" s="152">
        <f t="shared" si="48"/>
        <v>0</v>
      </c>
    </row>
    <row r="327" spans="1:20" ht="18" customHeight="1">
      <c r="A327" t="s">
        <v>506</v>
      </c>
      <c r="B327" s="624"/>
      <c r="C327" s="488">
        <v>46140</v>
      </c>
      <c r="D327" s="489" t="s">
        <v>104</v>
      </c>
      <c r="E327" s="489" t="s">
        <v>504</v>
      </c>
      <c r="F327" s="489" t="s">
        <v>209</v>
      </c>
      <c r="G327" s="489" t="s">
        <v>222</v>
      </c>
      <c r="H327" s="490">
        <v>14</v>
      </c>
      <c r="I327" s="489" t="s">
        <v>517</v>
      </c>
      <c r="J327" s="60"/>
      <c r="K327" s="60"/>
      <c r="L327" s="60"/>
      <c r="N327" s="152">
        <f t="shared" si="42"/>
        <v>14</v>
      </c>
      <c r="O327" s="152">
        <f t="shared" si="43"/>
        <v>0</v>
      </c>
      <c r="P327" s="152">
        <f t="shared" si="44"/>
        <v>0</v>
      </c>
      <c r="Q327" s="152">
        <f t="shared" si="45"/>
        <v>0</v>
      </c>
      <c r="R327" s="152">
        <f t="shared" si="46"/>
        <v>0</v>
      </c>
      <c r="S327" s="152">
        <f t="shared" si="47"/>
        <v>0</v>
      </c>
      <c r="T327" s="152">
        <f t="shared" si="48"/>
        <v>0</v>
      </c>
    </row>
    <row r="328" spans="1:20" ht="18" customHeight="1">
      <c r="A328" t="s">
        <v>506</v>
      </c>
      <c r="B328" s="624"/>
      <c r="C328" s="488">
        <v>46141</v>
      </c>
      <c r="D328" s="465" t="s">
        <v>101</v>
      </c>
      <c r="E328" s="489" t="s">
        <v>211</v>
      </c>
      <c r="F328" s="489" t="s">
        <v>209</v>
      </c>
      <c r="G328" s="489" t="s">
        <v>211</v>
      </c>
      <c r="H328" s="490">
        <v>100</v>
      </c>
      <c r="I328" s="489" t="s">
        <v>216</v>
      </c>
      <c r="J328" s="60"/>
      <c r="K328" s="60"/>
      <c r="L328" s="60"/>
      <c r="N328" s="152">
        <f t="shared" si="42"/>
        <v>0</v>
      </c>
      <c r="O328" s="152">
        <f t="shared" si="43"/>
        <v>0</v>
      </c>
      <c r="P328" s="152">
        <f t="shared" si="44"/>
        <v>0</v>
      </c>
      <c r="Q328" s="152">
        <f t="shared" si="45"/>
        <v>0</v>
      </c>
      <c r="R328" s="152">
        <f t="shared" si="46"/>
        <v>0</v>
      </c>
      <c r="S328" s="152">
        <f t="shared" si="47"/>
        <v>100</v>
      </c>
      <c r="T328" s="152">
        <f t="shared" si="48"/>
        <v>0</v>
      </c>
    </row>
    <row r="329" spans="1:20" ht="18" customHeight="1">
      <c r="A329" t="s">
        <v>506</v>
      </c>
      <c r="B329" s="624"/>
      <c r="C329" s="488">
        <v>46142</v>
      </c>
      <c r="D329" s="489" t="s">
        <v>104</v>
      </c>
      <c r="E329" s="489" t="s">
        <v>504</v>
      </c>
      <c r="F329" s="489" t="s">
        <v>209</v>
      </c>
      <c r="G329" s="489" t="s">
        <v>222</v>
      </c>
      <c r="H329" s="490">
        <v>15.26</v>
      </c>
      <c r="I329" s="489" t="s">
        <v>517</v>
      </c>
      <c r="J329" s="60"/>
      <c r="K329" s="60"/>
      <c r="L329" s="60"/>
      <c r="N329" s="152">
        <f t="shared" si="42"/>
        <v>15.26</v>
      </c>
      <c r="O329" s="152">
        <f t="shared" si="43"/>
        <v>0</v>
      </c>
      <c r="P329" s="152">
        <f t="shared" si="44"/>
        <v>0</v>
      </c>
      <c r="Q329" s="152">
        <f t="shared" si="45"/>
        <v>0</v>
      </c>
      <c r="R329" s="152">
        <f t="shared" si="46"/>
        <v>0</v>
      </c>
      <c r="S329" s="152">
        <f t="shared" si="47"/>
        <v>0</v>
      </c>
      <c r="T329" s="152">
        <f t="shared" si="48"/>
        <v>0</v>
      </c>
    </row>
    <row r="330" spans="1:20" ht="18" customHeight="1">
      <c r="A330" t="s">
        <v>506</v>
      </c>
      <c r="B330" s="624"/>
      <c r="C330" s="488">
        <v>46143</v>
      </c>
      <c r="D330" s="465" t="s">
        <v>101</v>
      </c>
      <c r="E330" s="489" t="s">
        <v>211</v>
      </c>
      <c r="F330" s="489" t="s">
        <v>209</v>
      </c>
      <c r="G330" s="489" t="s">
        <v>211</v>
      </c>
      <c r="H330" s="490">
        <v>100</v>
      </c>
      <c r="I330" s="489" t="s">
        <v>216</v>
      </c>
      <c r="J330" s="60"/>
      <c r="L330" s="60"/>
      <c r="N330" s="152">
        <f t="shared" si="42"/>
        <v>0</v>
      </c>
      <c r="O330" s="152">
        <f t="shared" si="43"/>
        <v>0</v>
      </c>
      <c r="P330" s="152">
        <f t="shared" si="44"/>
        <v>0</v>
      </c>
      <c r="Q330" s="152">
        <f t="shared" si="45"/>
        <v>0</v>
      </c>
      <c r="R330" s="152">
        <f t="shared" si="46"/>
        <v>0</v>
      </c>
      <c r="S330" s="152">
        <f t="shared" si="47"/>
        <v>100</v>
      </c>
      <c r="T330" s="152">
        <f t="shared" si="48"/>
        <v>0</v>
      </c>
    </row>
    <row r="331" spans="1:20" ht="18" customHeight="1">
      <c r="A331" t="s">
        <v>506</v>
      </c>
      <c r="B331" s="624"/>
      <c r="C331" s="488">
        <v>46145</v>
      </c>
      <c r="D331" s="489" t="s">
        <v>101</v>
      </c>
      <c r="E331" s="489" t="s">
        <v>211</v>
      </c>
      <c r="F331" s="489" t="s">
        <v>209</v>
      </c>
      <c r="G331" s="489" t="s">
        <v>211</v>
      </c>
      <c r="H331" s="490">
        <v>100</v>
      </c>
      <c r="I331" s="489" t="s">
        <v>216</v>
      </c>
      <c r="J331" s="60"/>
      <c r="L331" s="60"/>
      <c r="N331" s="152">
        <f t="shared" si="42"/>
        <v>0</v>
      </c>
      <c r="O331" s="152">
        <f t="shared" si="43"/>
        <v>0</v>
      </c>
      <c r="P331" s="152">
        <f t="shared" si="44"/>
        <v>0</v>
      </c>
      <c r="Q331" s="152">
        <f t="shared" si="45"/>
        <v>0</v>
      </c>
      <c r="R331" s="152">
        <f t="shared" si="46"/>
        <v>0</v>
      </c>
      <c r="S331" s="152">
        <f t="shared" si="47"/>
        <v>100</v>
      </c>
      <c r="T331" s="152">
        <f t="shared" si="48"/>
        <v>0</v>
      </c>
    </row>
    <row r="332" spans="1:20" ht="18" customHeight="1">
      <c r="A332" t="s">
        <v>506</v>
      </c>
      <c r="B332" s="624"/>
      <c r="C332" s="488">
        <v>46146</v>
      </c>
      <c r="D332" s="489" t="s">
        <v>104</v>
      </c>
      <c r="E332" s="489" t="s">
        <v>504</v>
      </c>
      <c r="F332" s="489" t="s">
        <v>209</v>
      </c>
      <c r="G332" s="489" t="s">
        <v>222</v>
      </c>
      <c r="H332" s="490">
        <v>5.68</v>
      </c>
      <c r="I332" s="489" t="s">
        <v>517</v>
      </c>
      <c r="J332" s="60"/>
      <c r="L332" s="60"/>
      <c r="N332" s="152">
        <f t="shared" ref="N332" si="49">IF(OR(E332="Personal Expense",E332="Recurring Expense"),H332,0)</f>
        <v>5.68</v>
      </c>
      <c r="O332" s="152">
        <f t="shared" ref="O332" si="50">IF(E332="Internal Transfer",H332,0)</f>
        <v>0</v>
      </c>
      <c r="P332" s="152">
        <f t="shared" ref="P332" si="51">IF(E332="Saving Allocation",H332,0)</f>
        <v>0</v>
      </c>
      <c r="Q332" s="152">
        <f t="shared" ref="Q332" si="52">IF(E332="Investment",H332,0)</f>
        <v>0</v>
      </c>
      <c r="R332" s="152">
        <f t="shared" ref="R332" si="53">IF(E332="Debt Repayment",H332,0)</f>
        <v>0</v>
      </c>
      <c r="S332" s="152">
        <f t="shared" ref="S332" si="54">IF(E332="Joint Account",H332,0)</f>
        <v>0</v>
      </c>
      <c r="T332" s="152">
        <f t="shared" ref="T332" si="55">IF(E332="Income",H332,0)</f>
        <v>0</v>
      </c>
    </row>
    <row r="333" spans="1:20" ht="18" customHeight="1">
      <c r="A333" t="s">
        <v>506</v>
      </c>
      <c r="B333" s="625"/>
      <c r="C333" s="488">
        <v>46146</v>
      </c>
      <c r="D333" s="489" t="s">
        <v>101</v>
      </c>
      <c r="E333" s="489" t="s">
        <v>211</v>
      </c>
      <c r="F333" s="489" t="s">
        <v>353</v>
      </c>
      <c r="G333" s="489" t="s">
        <v>211</v>
      </c>
      <c r="H333" s="490">
        <v>50</v>
      </c>
      <c r="I333" s="489" t="s">
        <v>216</v>
      </c>
      <c r="J333" s="60"/>
      <c r="L333" s="60"/>
      <c r="N333" s="152">
        <f t="shared" si="42"/>
        <v>0</v>
      </c>
      <c r="O333" s="152">
        <f t="shared" si="43"/>
        <v>0</v>
      </c>
      <c r="P333" s="152">
        <f t="shared" si="44"/>
        <v>0</v>
      </c>
      <c r="Q333" s="152">
        <f t="shared" si="45"/>
        <v>0</v>
      </c>
      <c r="R333" s="152">
        <f t="shared" si="46"/>
        <v>0</v>
      </c>
      <c r="S333" s="152">
        <f t="shared" si="47"/>
        <v>50</v>
      </c>
      <c r="T333" s="152">
        <f t="shared" si="48"/>
        <v>0</v>
      </c>
    </row>
    <row r="334" spans="1:20" ht="18" customHeight="1">
      <c r="A334" t="s">
        <v>506</v>
      </c>
      <c r="B334" s="614" t="s">
        <v>254</v>
      </c>
      <c r="C334" s="612"/>
      <c r="D334" s="612"/>
      <c r="E334" s="612"/>
      <c r="F334" s="612"/>
      <c r="G334" s="613"/>
      <c r="H334" s="492">
        <f>SUMIF(E320:E330,"Income",H320:H330)</f>
        <v>1256.75</v>
      </c>
      <c r="I334" s="493"/>
      <c r="J334" s="60"/>
      <c r="K334" s="60"/>
      <c r="L334" s="60"/>
    </row>
    <row r="335" spans="1:20" ht="18" customHeight="1">
      <c r="A335" t="s">
        <v>506</v>
      </c>
      <c r="B335" s="611" t="s">
        <v>493</v>
      </c>
      <c r="C335" s="612"/>
      <c r="D335" s="612"/>
      <c r="E335" s="612"/>
      <c r="F335" s="612"/>
      <c r="G335" s="613"/>
      <c r="H335" s="494">
        <f>SUMIF(E320:E333,"Joint Account",H320:H333)</f>
        <v>350</v>
      </c>
      <c r="I335" s="406"/>
      <c r="J335" s="60"/>
      <c r="K335" s="60"/>
      <c r="L335" s="60"/>
    </row>
    <row r="336" spans="1:20" ht="18" customHeight="1">
      <c r="A336" t="s">
        <v>506</v>
      </c>
      <c r="B336" s="611" t="s">
        <v>494</v>
      </c>
      <c r="C336" s="612"/>
      <c r="D336" s="612"/>
      <c r="E336" s="612"/>
      <c r="F336" s="612"/>
      <c r="G336" s="613"/>
      <c r="H336" s="494">
        <f>SUMIF(E320:E330,"Recurring Expense",H320:H330)</f>
        <v>164.99</v>
      </c>
      <c r="I336" s="406"/>
      <c r="J336" s="60"/>
      <c r="K336" s="60"/>
      <c r="L336" s="60"/>
    </row>
    <row r="337" spans="1:20" ht="18" customHeight="1">
      <c r="A337" t="s">
        <v>506</v>
      </c>
      <c r="B337" s="611" t="s">
        <v>227</v>
      </c>
      <c r="C337" s="612"/>
      <c r="D337" s="612"/>
      <c r="E337" s="612"/>
      <c r="F337" s="612"/>
      <c r="G337" s="613"/>
      <c r="H337" s="494">
        <f>SUMIF(E320:E330,"Investment",H320:H330)</f>
        <v>50</v>
      </c>
      <c r="I337" s="406"/>
      <c r="J337" s="60"/>
      <c r="K337" s="60"/>
      <c r="L337" s="60"/>
    </row>
    <row r="338" spans="1:20" ht="18" customHeight="1">
      <c r="A338" t="s">
        <v>506</v>
      </c>
      <c r="B338" s="611" t="s">
        <v>250</v>
      </c>
      <c r="C338" s="612"/>
      <c r="D338" s="612"/>
      <c r="E338" s="612"/>
      <c r="F338" s="612"/>
      <c r="G338" s="613"/>
      <c r="H338" s="494">
        <f>SUMIF(E320:E330,"Saving Allocation",H320:H330)</f>
        <v>772.03</v>
      </c>
      <c r="I338" s="406"/>
      <c r="J338" s="60"/>
      <c r="K338" s="60"/>
      <c r="L338" s="60"/>
    </row>
    <row r="339" spans="1:20" ht="18" customHeight="1">
      <c r="A339" t="s">
        <v>506</v>
      </c>
      <c r="B339" s="611" t="s">
        <v>496</v>
      </c>
      <c r="C339" s="612"/>
      <c r="D339" s="612"/>
      <c r="E339" s="612"/>
      <c r="F339" s="612"/>
      <c r="G339" s="613"/>
      <c r="H339" s="494">
        <f>SUMIF(E320:E330,"Personal Expense",H320:H330)</f>
        <v>29.259999999999998</v>
      </c>
      <c r="I339" s="406"/>
      <c r="J339" s="60"/>
      <c r="K339" s="60"/>
      <c r="L339" s="60"/>
    </row>
    <row r="340" spans="1:20" ht="18" customHeight="1">
      <c r="A340" t="s">
        <v>506</v>
      </c>
      <c r="B340" s="626" t="s">
        <v>253</v>
      </c>
      <c r="C340" s="612"/>
      <c r="D340" s="612"/>
      <c r="E340" s="612"/>
      <c r="F340" s="612"/>
      <c r="G340" s="613"/>
      <c r="H340" s="495">
        <f>H336+H339+H335+H337+SUMIF(E320:E333,"Debt Repayment",H320:H333)+H338</f>
        <v>1366.28</v>
      </c>
      <c r="I340" s="414"/>
      <c r="J340" s="60"/>
      <c r="K340" s="60"/>
      <c r="L340" s="60"/>
    </row>
    <row r="341" spans="1:20" ht="18" customHeight="1">
      <c r="A341" t="s">
        <v>506</v>
      </c>
      <c r="B341" s="617" t="s">
        <v>497</v>
      </c>
      <c r="C341" s="618"/>
      <c r="D341" s="618"/>
      <c r="E341" s="618"/>
      <c r="F341" s="618"/>
      <c r="G341" s="619"/>
      <c r="H341" s="585">
        <f>H334-(H336+H339)-H335-H337-SUMIF(E320:E333,"Debt Repayment",H320:H333)-H338</f>
        <v>-109.52999999999997</v>
      </c>
      <c r="I341" s="414"/>
      <c r="J341" s="60"/>
      <c r="K341" s="60"/>
      <c r="L341" s="60"/>
    </row>
    <row r="342" spans="1:20" ht="18" customHeight="1">
      <c r="B342" s="626" t="s">
        <v>554</v>
      </c>
      <c r="C342" s="612"/>
      <c r="D342" s="612"/>
      <c r="E342" s="612"/>
      <c r="F342" s="612"/>
      <c r="G342" s="613"/>
      <c r="H342" s="526">
        <f>H341+SUMIFS($H:$H,$A:$A,A341,$E:$E,"Saving Allocation")</f>
        <v>662.5</v>
      </c>
      <c r="I342" s="414"/>
      <c r="J342" s="60"/>
      <c r="K342" s="60"/>
      <c r="L342" s="60"/>
    </row>
    <row r="343" spans="1:20" ht="18" customHeight="1">
      <c r="B343" s="499"/>
      <c r="C343" s="499"/>
      <c r="D343" s="499"/>
      <c r="E343" s="499"/>
      <c r="F343" s="499"/>
      <c r="G343" s="499"/>
      <c r="H343" s="499"/>
      <c r="I343" s="499"/>
    </row>
    <row r="344" spans="1:20" ht="18" customHeight="1">
      <c r="A344" s="508" t="s">
        <v>511</v>
      </c>
      <c r="B344" s="628" t="s">
        <v>511</v>
      </c>
      <c r="C344" s="485">
        <v>46147</v>
      </c>
      <c r="D344" s="486" t="s">
        <v>204</v>
      </c>
      <c r="E344" s="486" t="s">
        <v>207</v>
      </c>
      <c r="F344" s="486" t="s">
        <v>208</v>
      </c>
      <c r="G344" s="486" t="s">
        <v>209</v>
      </c>
      <c r="H344" s="487">
        <v>1224.83</v>
      </c>
      <c r="I344" s="486" t="s">
        <v>215</v>
      </c>
      <c r="J344" s="352"/>
      <c r="K344" s="352"/>
      <c r="L344" s="352"/>
    </row>
    <row r="345" spans="1:20" ht="18" customHeight="1">
      <c r="A345" s="508" t="s">
        <v>511</v>
      </c>
      <c r="B345" s="627"/>
      <c r="C345" s="488">
        <v>46147</v>
      </c>
      <c r="D345" s="489" t="s">
        <v>31</v>
      </c>
      <c r="E345" s="489" t="s">
        <v>503</v>
      </c>
      <c r="F345" s="489" t="s">
        <v>209</v>
      </c>
      <c r="G345" s="489" t="s">
        <v>222</v>
      </c>
      <c r="H345" s="490">
        <v>29.99</v>
      </c>
      <c r="I345" s="489" t="s">
        <v>44</v>
      </c>
      <c r="N345">
        <f t="shared" ref="N345:N356" si="56">IF(OR(E345="Personal Expense",E345="Recurring Expense"),H345,0)</f>
        <v>29.99</v>
      </c>
      <c r="O345">
        <f t="shared" ref="O345:O356" si="57">IF(E345="Internal Transfer",H345,0)</f>
        <v>0</v>
      </c>
      <c r="P345">
        <f t="shared" ref="P345:P356" si="58">IF(E345="Saving Allocation",H345,0)</f>
        <v>0</v>
      </c>
      <c r="Q345">
        <f t="shared" ref="Q345:Q356" si="59">IF(E345="Investment",H345,0)</f>
        <v>0</v>
      </c>
      <c r="R345">
        <f t="shared" ref="R345:R356" si="60">IF(E345="Debt Repayment",H345,0)</f>
        <v>0</v>
      </c>
      <c r="S345">
        <f t="shared" ref="S345:S356" si="61">IF(E345="Joint Account",H345,0)</f>
        <v>0</v>
      </c>
      <c r="T345">
        <f t="shared" ref="T345:T356" si="62">IF(E345="Income",H345,0)</f>
        <v>0</v>
      </c>
    </row>
    <row r="346" spans="1:20" ht="18" customHeight="1">
      <c r="A346" s="508" t="s">
        <v>511</v>
      </c>
      <c r="B346" s="627"/>
      <c r="C346" s="488">
        <v>46148</v>
      </c>
      <c r="D346" s="489" t="s">
        <v>373</v>
      </c>
      <c r="E346" s="489" t="s">
        <v>503</v>
      </c>
      <c r="F346" s="489" t="s">
        <v>209</v>
      </c>
      <c r="G346" s="489" t="s">
        <v>210</v>
      </c>
      <c r="H346" s="490">
        <v>150</v>
      </c>
      <c r="I346" s="489" t="s">
        <v>34</v>
      </c>
      <c r="N346">
        <f t="shared" si="56"/>
        <v>150</v>
      </c>
      <c r="O346">
        <f t="shared" si="57"/>
        <v>0</v>
      </c>
      <c r="P346">
        <f t="shared" si="58"/>
        <v>0</v>
      </c>
      <c r="Q346">
        <f t="shared" si="59"/>
        <v>0</v>
      </c>
      <c r="R346">
        <f t="shared" si="60"/>
        <v>0</v>
      </c>
      <c r="S346">
        <f t="shared" si="61"/>
        <v>0</v>
      </c>
      <c r="T346">
        <f t="shared" si="62"/>
        <v>0</v>
      </c>
    </row>
    <row r="347" spans="1:20" ht="18" customHeight="1">
      <c r="A347" s="508" t="s">
        <v>511</v>
      </c>
      <c r="B347" s="627"/>
      <c r="C347" s="488">
        <v>46148</v>
      </c>
      <c r="D347" s="489" t="s">
        <v>356</v>
      </c>
      <c r="E347" s="489" t="s">
        <v>478</v>
      </c>
      <c r="F347" s="489" t="s">
        <v>209</v>
      </c>
      <c r="G347" s="489" t="s">
        <v>340</v>
      </c>
      <c r="H347" s="490">
        <v>756.41</v>
      </c>
      <c r="I347" s="489" t="s">
        <v>224</v>
      </c>
      <c r="N347">
        <f t="shared" si="56"/>
        <v>0</v>
      </c>
      <c r="O347">
        <f t="shared" si="57"/>
        <v>0</v>
      </c>
      <c r="P347">
        <f t="shared" si="58"/>
        <v>756.41</v>
      </c>
      <c r="Q347">
        <f t="shared" si="59"/>
        <v>0</v>
      </c>
      <c r="R347">
        <f t="shared" si="60"/>
        <v>0</v>
      </c>
      <c r="S347">
        <f t="shared" si="61"/>
        <v>0</v>
      </c>
      <c r="T347">
        <f t="shared" si="62"/>
        <v>0</v>
      </c>
    </row>
    <row r="348" spans="1:20" ht="18" customHeight="1">
      <c r="A348" s="508" t="s">
        <v>511</v>
      </c>
      <c r="B348" s="627"/>
      <c r="C348" s="488">
        <v>46148</v>
      </c>
      <c r="D348" s="489" t="s">
        <v>521</v>
      </c>
      <c r="E348" s="489" t="s">
        <v>218</v>
      </c>
      <c r="F348" s="489" t="s">
        <v>209</v>
      </c>
      <c r="G348" s="489" t="s">
        <v>550</v>
      </c>
      <c r="H348" s="490">
        <v>50</v>
      </c>
      <c r="I348" s="489" t="s">
        <v>218</v>
      </c>
      <c r="N348">
        <f t="shared" si="56"/>
        <v>0</v>
      </c>
      <c r="O348">
        <f t="shared" si="57"/>
        <v>0</v>
      </c>
      <c r="P348">
        <f t="shared" si="58"/>
        <v>0</v>
      </c>
      <c r="Q348">
        <f t="shared" si="59"/>
        <v>50</v>
      </c>
      <c r="R348">
        <f t="shared" si="60"/>
        <v>0</v>
      </c>
      <c r="S348">
        <f t="shared" si="61"/>
        <v>0</v>
      </c>
      <c r="T348">
        <f t="shared" si="62"/>
        <v>0</v>
      </c>
    </row>
    <row r="349" spans="1:20" ht="18" customHeight="1">
      <c r="A349" s="508" t="s">
        <v>511</v>
      </c>
      <c r="B349" s="627"/>
      <c r="C349" s="488">
        <v>46148</v>
      </c>
      <c r="D349" s="489" t="s">
        <v>182</v>
      </c>
      <c r="E349" s="489" t="s">
        <v>503</v>
      </c>
      <c r="F349" s="489" t="s">
        <v>209</v>
      </c>
      <c r="G349" s="489" t="s">
        <v>222</v>
      </c>
      <c r="H349" s="490">
        <v>16</v>
      </c>
      <c r="I349" s="489" t="s">
        <v>44</v>
      </c>
      <c r="N349">
        <f t="shared" si="56"/>
        <v>16</v>
      </c>
      <c r="O349">
        <f t="shared" si="57"/>
        <v>0</v>
      </c>
      <c r="P349">
        <f t="shared" si="58"/>
        <v>0</v>
      </c>
      <c r="Q349">
        <f t="shared" si="59"/>
        <v>0</v>
      </c>
      <c r="R349">
        <f t="shared" si="60"/>
        <v>0</v>
      </c>
      <c r="S349">
        <f t="shared" si="61"/>
        <v>0</v>
      </c>
      <c r="T349">
        <f t="shared" si="62"/>
        <v>0</v>
      </c>
    </row>
    <row r="350" spans="1:20" ht="18" customHeight="1">
      <c r="A350" s="508" t="s">
        <v>511</v>
      </c>
      <c r="B350" s="627"/>
      <c r="C350" s="488">
        <v>46148</v>
      </c>
      <c r="D350" s="489" t="s">
        <v>522</v>
      </c>
      <c r="E350" s="489" t="s">
        <v>503</v>
      </c>
      <c r="F350" s="489" t="s">
        <v>209</v>
      </c>
      <c r="G350" s="489" t="s">
        <v>222</v>
      </c>
      <c r="H350" s="490">
        <v>55</v>
      </c>
      <c r="I350" s="489" t="s">
        <v>44</v>
      </c>
      <c r="N350">
        <f t="shared" si="56"/>
        <v>55</v>
      </c>
      <c r="O350">
        <f t="shared" si="57"/>
        <v>0</v>
      </c>
      <c r="P350">
        <f t="shared" si="58"/>
        <v>0</v>
      </c>
      <c r="Q350">
        <f t="shared" si="59"/>
        <v>0</v>
      </c>
      <c r="R350">
        <f t="shared" si="60"/>
        <v>0</v>
      </c>
      <c r="S350">
        <f t="shared" si="61"/>
        <v>0</v>
      </c>
      <c r="T350">
        <f t="shared" si="62"/>
        <v>0</v>
      </c>
    </row>
    <row r="351" spans="1:20" ht="18" customHeight="1">
      <c r="A351" s="508" t="s">
        <v>511</v>
      </c>
      <c r="B351" s="627"/>
      <c r="C351" s="488">
        <v>46148</v>
      </c>
      <c r="D351" s="489" t="s">
        <v>523</v>
      </c>
      <c r="E351" s="489" t="s">
        <v>504</v>
      </c>
      <c r="F351" s="489" t="s">
        <v>209</v>
      </c>
      <c r="G351" s="489" t="s">
        <v>222</v>
      </c>
      <c r="H351" s="490">
        <v>5.76</v>
      </c>
      <c r="I351" s="489" t="s">
        <v>517</v>
      </c>
      <c r="N351">
        <f t="shared" si="56"/>
        <v>5.76</v>
      </c>
      <c r="O351">
        <f t="shared" si="57"/>
        <v>0</v>
      </c>
      <c r="P351">
        <f t="shared" si="58"/>
        <v>0</v>
      </c>
      <c r="Q351">
        <f t="shared" si="59"/>
        <v>0</v>
      </c>
      <c r="R351">
        <f t="shared" si="60"/>
        <v>0</v>
      </c>
      <c r="S351">
        <f t="shared" si="61"/>
        <v>0</v>
      </c>
      <c r="T351">
        <f t="shared" si="62"/>
        <v>0</v>
      </c>
    </row>
    <row r="352" spans="1:20" ht="18" customHeight="1">
      <c r="A352" s="508" t="s">
        <v>511</v>
      </c>
      <c r="B352" s="627"/>
      <c r="C352" s="488">
        <v>46149</v>
      </c>
      <c r="D352" s="465" t="s">
        <v>101</v>
      </c>
      <c r="E352" s="489" t="s">
        <v>211</v>
      </c>
      <c r="F352" s="489" t="s">
        <v>209</v>
      </c>
      <c r="G352" s="489" t="s">
        <v>211</v>
      </c>
      <c r="H352" s="490">
        <v>50</v>
      </c>
      <c r="I352" s="489" t="s">
        <v>216</v>
      </c>
      <c r="N352">
        <f t="shared" si="56"/>
        <v>0</v>
      </c>
      <c r="O352">
        <f t="shared" si="57"/>
        <v>0</v>
      </c>
      <c r="P352">
        <f t="shared" si="58"/>
        <v>0</v>
      </c>
      <c r="Q352">
        <f t="shared" si="59"/>
        <v>0</v>
      </c>
      <c r="R352">
        <f t="shared" si="60"/>
        <v>0</v>
      </c>
      <c r="S352">
        <f t="shared" si="61"/>
        <v>50</v>
      </c>
      <c r="T352">
        <f t="shared" si="62"/>
        <v>0</v>
      </c>
    </row>
    <row r="353" spans="1:20" ht="18" customHeight="1">
      <c r="A353" s="508" t="s">
        <v>511</v>
      </c>
      <c r="B353" s="627"/>
      <c r="C353" s="488">
        <v>46150</v>
      </c>
      <c r="D353" s="489" t="s">
        <v>101</v>
      </c>
      <c r="E353" s="489" t="s">
        <v>211</v>
      </c>
      <c r="F353" s="489" t="s">
        <v>209</v>
      </c>
      <c r="G353" s="489" t="s">
        <v>211</v>
      </c>
      <c r="H353" s="490">
        <v>75</v>
      </c>
      <c r="I353" s="489" t="s">
        <v>216</v>
      </c>
      <c r="N353">
        <f t="shared" si="56"/>
        <v>0</v>
      </c>
      <c r="O353">
        <f t="shared" si="57"/>
        <v>0</v>
      </c>
      <c r="P353">
        <f t="shared" si="58"/>
        <v>0</v>
      </c>
      <c r="Q353">
        <f t="shared" si="59"/>
        <v>0</v>
      </c>
      <c r="R353">
        <f t="shared" si="60"/>
        <v>0</v>
      </c>
      <c r="S353">
        <f t="shared" si="61"/>
        <v>75</v>
      </c>
      <c r="T353">
        <f t="shared" si="62"/>
        <v>0</v>
      </c>
    </row>
    <row r="354" spans="1:20" ht="18" customHeight="1">
      <c r="A354" s="508" t="s">
        <v>511</v>
      </c>
      <c r="B354" s="627"/>
      <c r="C354" s="488">
        <v>46153</v>
      </c>
      <c r="D354" s="489" t="s">
        <v>104</v>
      </c>
      <c r="E354" s="489" t="s">
        <v>504</v>
      </c>
      <c r="F354" s="489" t="s">
        <v>209</v>
      </c>
      <c r="G354" s="489" t="s">
        <v>222</v>
      </c>
      <c r="H354" s="490">
        <v>15.26</v>
      </c>
      <c r="I354" s="489" t="s">
        <v>517</v>
      </c>
      <c r="N354">
        <f t="shared" si="56"/>
        <v>15.26</v>
      </c>
      <c r="O354">
        <f t="shared" si="57"/>
        <v>0</v>
      </c>
      <c r="P354">
        <f t="shared" si="58"/>
        <v>0</v>
      </c>
      <c r="Q354">
        <f t="shared" si="59"/>
        <v>0</v>
      </c>
      <c r="R354">
        <f t="shared" si="60"/>
        <v>0</v>
      </c>
      <c r="S354">
        <f t="shared" si="61"/>
        <v>0</v>
      </c>
      <c r="T354">
        <f t="shared" si="62"/>
        <v>0</v>
      </c>
    </row>
    <row r="355" spans="1:20" ht="18" customHeight="1">
      <c r="A355" s="508" t="s">
        <v>511</v>
      </c>
      <c r="B355" s="627"/>
      <c r="C355" s="488">
        <v>46153</v>
      </c>
      <c r="D355" s="489" t="s">
        <v>561</v>
      </c>
      <c r="E355" s="489" t="s">
        <v>504</v>
      </c>
      <c r="F355" s="489" t="s">
        <v>209</v>
      </c>
      <c r="G355" s="489" t="s">
        <v>222</v>
      </c>
      <c r="H355" s="490">
        <v>54.6</v>
      </c>
      <c r="I355" s="489" t="s">
        <v>517</v>
      </c>
      <c r="N355">
        <f t="shared" si="56"/>
        <v>54.6</v>
      </c>
      <c r="O355">
        <f t="shared" si="57"/>
        <v>0</v>
      </c>
      <c r="P355">
        <f t="shared" si="58"/>
        <v>0</v>
      </c>
      <c r="Q355">
        <f t="shared" si="59"/>
        <v>0</v>
      </c>
      <c r="R355">
        <f t="shared" si="60"/>
        <v>0</v>
      </c>
      <c r="S355">
        <f t="shared" si="61"/>
        <v>0</v>
      </c>
      <c r="T355">
        <f t="shared" si="62"/>
        <v>0</v>
      </c>
    </row>
    <row r="356" spans="1:20" ht="18" customHeight="1">
      <c r="A356" s="508" t="s">
        <v>511</v>
      </c>
      <c r="B356" s="627"/>
      <c r="C356" s="488">
        <v>46153</v>
      </c>
      <c r="D356" s="489" t="s">
        <v>560</v>
      </c>
      <c r="E356" s="489" t="s">
        <v>504</v>
      </c>
      <c r="F356" s="489" t="s">
        <v>209</v>
      </c>
      <c r="G356" s="489" t="s">
        <v>222</v>
      </c>
      <c r="H356" s="490">
        <v>9.85</v>
      </c>
      <c r="I356" s="489" t="s">
        <v>517</v>
      </c>
      <c r="N356">
        <f t="shared" si="56"/>
        <v>9.85</v>
      </c>
      <c r="O356">
        <f t="shared" si="57"/>
        <v>0</v>
      </c>
      <c r="P356">
        <f t="shared" si="58"/>
        <v>0</v>
      </c>
      <c r="Q356">
        <f t="shared" si="59"/>
        <v>0</v>
      </c>
      <c r="R356">
        <f t="shared" si="60"/>
        <v>0</v>
      </c>
      <c r="S356">
        <f t="shared" si="61"/>
        <v>0</v>
      </c>
      <c r="T356">
        <f t="shared" si="62"/>
        <v>0</v>
      </c>
    </row>
    <row r="357" spans="1:20" ht="18" customHeight="1">
      <c r="A357" t="s">
        <v>511</v>
      </c>
      <c r="B357" s="614" t="s">
        <v>254</v>
      </c>
      <c r="C357" s="612"/>
      <c r="D357" s="612"/>
      <c r="E357" s="612"/>
      <c r="F357" s="612"/>
      <c r="G357" s="613"/>
      <c r="H357" s="510">
        <f>SUMIFS($H:$H,$A:$A,"5/5/26 -&gt; 11/5/26",$E:$E,"Income")</f>
        <v>1224.83</v>
      </c>
      <c r="I357" s="493"/>
    </row>
    <row r="358" spans="1:20" ht="18" customHeight="1">
      <c r="A358" t="s">
        <v>511</v>
      </c>
      <c r="B358" s="611" t="s">
        <v>493</v>
      </c>
      <c r="C358" s="612"/>
      <c r="D358" s="612"/>
      <c r="E358" s="612"/>
      <c r="F358" s="612"/>
      <c r="G358" s="613"/>
      <c r="H358" s="509">
        <f>SUMIFS($H:$H,$A:$A,"5/5/26 -&gt; 11/5/26",$E:$E,"Joint Account")</f>
        <v>125</v>
      </c>
      <c r="I358" s="406"/>
    </row>
    <row r="359" spans="1:20" ht="18" customHeight="1">
      <c r="A359" t="s">
        <v>511</v>
      </c>
      <c r="B359" s="611" t="s">
        <v>494</v>
      </c>
      <c r="C359" s="612"/>
      <c r="D359" s="612"/>
      <c r="E359" s="612"/>
      <c r="F359" s="612"/>
      <c r="G359" s="613"/>
      <c r="H359" s="509">
        <f>SUMIFS($H:$H,$A:$A,"5/5/26 -&gt; 11/5/26",$E:$E,"Recurring Expense")</f>
        <v>250.99</v>
      </c>
      <c r="I359" s="406"/>
    </row>
    <row r="360" spans="1:20" ht="18" customHeight="1">
      <c r="A360" t="s">
        <v>511</v>
      </c>
      <c r="B360" s="611" t="s">
        <v>227</v>
      </c>
      <c r="C360" s="612"/>
      <c r="D360" s="612"/>
      <c r="E360" s="612"/>
      <c r="F360" s="612"/>
      <c r="G360" s="613"/>
      <c r="H360" s="509">
        <f>SUMIFS($H:$H,$A:$A,"5/5/26 -&gt; 11/5/26",$E:$E,"Investment")</f>
        <v>50</v>
      </c>
      <c r="I360" s="406"/>
    </row>
    <row r="361" spans="1:20" ht="18" customHeight="1">
      <c r="A361" t="s">
        <v>511</v>
      </c>
      <c r="B361" s="611" t="s">
        <v>250</v>
      </c>
      <c r="C361" s="612"/>
      <c r="D361" s="612"/>
      <c r="E361" s="612"/>
      <c r="F361" s="612"/>
      <c r="G361" s="613"/>
      <c r="H361" s="509">
        <f>SUMIFS($H:$H,$A:$A,"5/5/26 -&gt; 11/5/26",$E:$E,"Saving Allocation")</f>
        <v>756.41</v>
      </c>
      <c r="I361" s="406"/>
    </row>
    <row r="362" spans="1:20" ht="18" customHeight="1">
      <c r="A362" t="s">
        <v>511</v>
      </c>
      <c r="B362" s="611" t="s">
        <v>496</v>
      </c>
      <c r="C362" s="612"/>
      <c r="D362" s="612"/>
      <c r="E362" s="612"/>
      <c r="F362" s="612"/>
      <c r="G362" s="613"/>
      <c r="H362" s="509">
        <f>SUMIFS($H:$H,$A:$A,"5/5/26 -&gt; 11/5/26",$E:$E,"Personal Expense")</f>
        <v>85.47</v>
      </c>
      <c r="I362" s="406"/>
    </row>
    <row r="363" spans="1:20" ht="18" customHeight="1">
      <c r="A363" t="s">
        <v>511</v>
      </c>
      <c r="B363" s="626" t="s">
        <v>253</v>
      </c>
      <c r="C363" s="612"/>
      <c r="D363" s="612"/>
      <c r="E363" s="612"/>
      <c r="F363" s="612"/>
      <c r="G363" s="613"/>
      <c r="H363" s="513">
        <f>SUMIFS($H:$H,$A:$A,"5/5/26 -&gt; 11/5/26",$E:$E,"Joint Account")+SUMIFS($H:$H,$A:$A,"5/5/26 -&gt; 11/5/26",$E:$E,"Recurring Expense")+SUMIFS($H:$H,$A:$A,"5/5/26 -&gt; 11/5/26",$E:$E,"Investment")+SUMIFS($H:$H,$A:$A,"5/5/26 -&gt; 11/5/26",$E:$E,"Saving Allocation")+SUMIFS($H:$H,$A:$A,"5/5/26 -&gt; 11/5/26",$E:$E,"Personal Expense")+SUMIFS($H:$H,$A:$A,"5/5/26 -&gt; 11/5/26",$E:$E,"Debt Repayment")</f>
        <v>1267.8700000000001</v>
      </c>
      <c r="I363" s="414"/>
    </row>
    <row r="364" spans="1:20" ht="18" customHeight="1">
      <c r="A364" t="s">
        <v>511</v>
      </c>
      <c r="B364" s="617" t="s">
        <v>497</v>
      </c>
      <c r="C364" s="618"/>
      <c r="D364" s="618"/>
      <c r="E364" s="618"/>
      <c r="F364" s="618"/>
      <c r="G364" s="619"/>
      <c r="H364" s="586">
        <f>SUMIFS($H:$H,$A:$A,"5/5/26 -&gt; 11/5/26",$E:$E,"Income")-SUMIFS($H:$H,$A:$A,"5/5/26 -&gt; 11/5/26",$E:$E,"Joint Account")-SUMIFS($H:$H,$A:$A,"5/5/26 -&gt; 11/5/26",$E:$E,"Recurring Expense")-SUMIFS($H:$H,$A:$A,"5/5/26 -&gt; 11/5/26",$E:$E,"Investment")-SUMIFS($H:$H,$A:$A,"5/5/26 -&gt; 11/5/26",$E:$E,"Saving Allocation")-SUMIFS($H:$H,$A:$A,"5/5/26 -&gt; 11/5/26",$E:$E,"Personal Expense")-SUMIFS($H:$H,$A:$A,"5/5/26 -&gt; 11/5/26",$E:$E,"Debt Repayment")</f>
        <v>-43.040000000000049</v>
      </c>
      <c r="I364" s="414"/>
    </row>
    <row r="365" spans="1:20" ht="18" customHeight="1">
      <c r="B365" s="626" t="s">
        <v>554</v>
      </c>
      <c r="C365" s="612"/>
      <c r="D365" s="612"/>
      <c r="E365" s="612"/>
      <c r="F365" s="612"/>
      <c r="G365" s="613"/>
      <c r="H365" s="513">
        <f>SUMIFS($H:$H,$A:$A,"5/5/26 -&gt; 11/5/26",$E:$E,"Income")-SUMIFS($H:$H,$A:$A,"5/5/26 -&gt; 11/5/26",$E:$E,"Joint Account")-SUMIFS($H:$H,$A:$A,"5/5/26 -&gt; 11/5/26",$E:$E,"Recurring Expense")-SUMIFS($H:$H,$A:$A,"5/5/26 -&gt; 11/5/26",$E:$E,"Investment")-SUMIFS($H:$H,$A:$A,"5/5/26 -&gt; 11/5/26",$E:$E,"Personal Expense")-SUMIFS($H:$H,$A:$A,"5/5/26 -&gt; 11/5/26",$E:$E,"Debt Repayment")</f>
        <v>713.36999999999989</v>
      </c>
      <c r="I365" s="414"/>
    </row>
    <row r="366" spans="1:20" ht="18" customHeight="1">
      <c r="A366" t="s">
        <v>511</v>
      </c>
      <c r="B366" s="523"/>
      <c r="C366" s="489"/>
      <c r="D366" s="489"/>
      <c r="E366" s="489"/>
      <c r="F366" s="489"/>
      <c r="G366" s="489"/>
      <c r="H366" s="490"/>
      <c r="I366" s="489"/>
    </row>
    <row r="367" spans="1:20" ht="18" customHeight="1">
      <c r="A367" s="508" t="s">
        <v>516</v>
      </c>
      <c r="B367" s="623" t="s">
        <v>516</v>
      </c>
      <c r="C367" s="485">
        <v>46154</v>
      </c>
      <c r="D367" s="486" t="s">
        <v>204</v>
      </c>
      <c r="E367" s="486" t="s">
        <v>207</v>
      </c>
      <c r="F367" s="486" t="s">
        <v>208</v>
      </c>
      <c r="G367" s="486" t="s">
        <v>209</v>
      </c>
      <c r="H367" s="487">
        <v>1162.92</v>
      </c>
      <c r="I367" s="486" t="s">
        <v>215</v>
      </c>
      <c r="N367">
        <f t="shared" ref="N367:N386" si="63">IF(OR(E367="Personal Expense",E367="Recurring Expense"),H367,0)</f>
        <v>0</v>
      </c>
      <c r="O367">
        <f t="shared" ref="O367:O386" si="64">IF(E367="Internal Transfer",H367,0)</f>
        <v>0</v>
      </c>
      <c r="P367">
        <f t="shared" ref="P367:P386" si="65">IF(E367="Saving Allocation",H367,0)</f>
        <v>0</v>
      </c>
      <c r="Q367">
        <f t="shared" ref="Q367:Q386" si="66">IF(E367="Investment",H367,0)</f>
        <v>0</v>
      </c>
      <c r="R367">
        <f t="shared" ref="R367:R386" si="67">IF(E367="Debt Repayment",H367,0)</f>
        <v>0</v>
      </c>
      <c r="S367">
        <f t="shared" ref="S367:S386" si="68">IF(E367="Joint Account",H367,0)</f>
        <v>0</v>
      </c>
      <c r="T367">
        <f t="shared" ref="T367:T386" si="69">IF(E367="Income",H367,0)</f>
        <v>1162.92</v>
      </c>
    </row>
    <row r="368" spans="1:20" ht="18" customHeight="1">
      <c r="A368" s="508" t="s">
        <v>516</v>
      </c>
      <c r="B368" s="624"/>
      <c r="C368" s="488">
        <v>46155</v>
      </c>
      <c r="D368" s="489" t="s">
        <v>562</v>
      </c>
      <c r="E368" s="489" t="s">
        <v>503</v>
      </c>
      <c r="F368" s="489" t="s">
        <v>209</v>
      </c>
      <c r="G368" s="489" t="s">
        <v>210</v>
      </c>
      <c r="H368" s="490">
        <v>150</v>
      </c>
      <c r="I368" s="489" t="s">
        <v>34</v>
      </c>
      <c r="N368">
        <f>IF(OR(E368="Personal Expense",E368="Recurring Expense"),H368,0)</f>
        <v>150</v>
      </c>
      <c r="O368">
        <f>IF(E368="Internal Transfer",H368,0)</f>
        <v>0</v>
      </c>
      <c r="P368">
        <f>IF(E368="Saving Allocation",H368,0)</f>
        <v>0</v>
      </c>
      <c r="Q368">
        <f>IF(E368="Investment",H368,0)</f>
        <v>0</v>
      </c>
      <c r="R368">
        <f>IF(E368="Debt Repayment",H368,0)</f>
        <v>0</v>
      </c>
      <c r="S368">
        <f>IF(E368="Joint Account",H368,0)</f>
        <v>0</v>
      </c>
      <c r="T368">
        <f>IF(E368="Income",H368,0)</f>
        <v>0</v>
      </c>
    </row>
    <row r="369" spans="1:20" ht="18" customHeight="1">
      <c r="A369" s="508" t="s">
        <v>516</v>
      </c>
      <c r="B369" s="624"/>
      <c r="C369" s="488">
        <v>46155</v>
      </c>
      <c r="D369" s="489" t="s">
        <v>521</v>
      </c>
      <c r="E369" s="489" t="s">
        <v>218</v>
      </c>
      <c r="F369" s="489" t="s">
        <v>209</v>
      </c>
      <c r="G369" s="489" t="s">
        <v>550</v>
      </c>
      <c r="H369" s="490">
        <v>50</v>
      </c>
      <c r="I369" s="489" t="s">
        <v>34</v>
      </c>
      <c r="N369">
        <f>IF(OR(E369="Personal Expense",E369="Recurring Expense"),H369,0)</f>
        <v>0</v>
      </c>
      <c r="O369">
        <f>IF(E369="Internal Transfer",H369,0)</f>
        <v>0</v>
      </c>
      <c r="P369">
        <f>IF(E369="Saving Allocation",H369,0)</f>
        <v>0</v>
      </c>
      <c r="Q369">
        <f>IF(E369="Investment",H369,0)</f>
        <v>50</v>
      </c>
      <c r="R369">
        <f>IF(E369="Debt Repayment",H369,0)</f>
        <v>0</v>
      </c>
      <c r="S369">
        <f>IF(E369="Joint Account",H369,0)</f>
        <v>0</v>
      </c>
      <c r="T369">
        <f>IF(E369="Income",H369,0)</f>
        <v>0</v>
      </c>
    </row>
    <row r="370" spans="1:20" ht="18" customHeight="1">
      <c r="A370" s="508" t="s">
        <v>516</v>
      </c>
      <c r="B370" s="624"/>
      <c r="C370" s="488">
        <v>46155</v>
      </c>
      <c r="D370" s="489" t="s">
        <v>356</v>
      </c>
      <c r="E370" s="489" t="s">
        <v>478</v>
      </c>
      <c r="F370" s="489" t="s">
        <v>209</v>
      </c>
      <c r="G370" s="489" t="s">
        <v>340</v>
      </c>
      <c r="H370" s="490">
        <v>750</v>
      </c>
      <c r="I370" s="489" t="s">
        <v>215</v>
      </c>
      <c r="N370">
        <f t="shared" si="63"/>
        <v>0</v>
      </c>
      <c r="O370">
        <f t="shared" si="64"/>
        <v>0</v>
      </c>
      <c r="P370">
        <f t="shared" si="65"/>
        <v>750</v>
      </c>
      <c r="Q370">
        <f t="shared" si="66"/>
        <v>0</v>
      </c>
      <c r="R370">
        <f t="shared" si="67"/>
        <v>0</v>
      </c>
      <c r="S370">
        <f t="shared" si="68"/>
        <v>0</v>
      </c>
      <c r="T370">
        <f t="shared" si="69"/>
        <v>0</v>
      </c>
    </row>
    <row r="371" spans="1:20" ht="18" customHeight="1">
      <c r="A371" s="508" t="s">
        <v>516</v>
      </c>
      <c r="B371" s="624"/>
      <c r="C371" s="488">
        <v>46155</v>
      </c>
      <c r="D371" s="489" t="s">
        <v>101</v>
      </c>
      <c r="E371" s="489" t="s">
        <v>211</v>
      </c>
      <c r="F371" s="489" t="s">
        <v>209</v>
      </c>
      <c r="G371" s="489" t="s">
        <v>211</v>
      </c>
      <c r="H371" s="490">
        <v>50</v>
      </c>
      <c r="I371" s="489" t="s">
        <v>216</v>
      </c>
      <c r="N371">
        <f t="shared" si="63"/>
        <v>0</v>
      </c>
      <c r="O371">
        <f t="shared" si="64"/>
        <v>0</v>
      </c>
      <c r="P371">
        <f t="shared" si="65"/>
        <v>0</v>
      </c>
      <c r="Q371">
        <f t="shared" si="66"/>
        <v>0</v>
      </c>
      <c r="R371">
        <f t="shared" si="67"/>
        <v>0</v>
      </c>
      <c r="S371">
        <f t="shared" si="68"/>
        <v>50</v>
      </c>
      <c r="T371">
        <f t="shared" si="69"/>
        <v>0</v>
      </c>
    </row>
    <row r="372" spans="1:20" ht="18" customHeight="1">
      <c r="A372" s="508" t="s">
        <v>516</v>
      </c>
      <c r="B372" s="624"/>
      <c r="C372" s="488">
        <v>46156</v>
      </c>
      <c r="D372" s="489" t="s">
        <v>104</v>
      </c>
      <c r="E372" s="489" t="s">
        <v>504</v>
      </c>
      <c r="F372" s="489" t="s">
        <v>209</v>
      </c>
      <c r="G372" s="489" t="s">
        <v>222</v>
      </c>
      <c r="H372" s="490">
        <v>12.45</v>
      </c>
      <c r="I372" s="489" t="s">
        <v>517</v>
      </c>
      <c r="N372">
        <f t="shared" si="63"/>
        <v>12.45</v>
      </c>
      <c r="O372">
        <f t="shared" si="64"/>
        <v>0</v>
      </c>
      <c r="P372">
        <f t="shared" si="65"/>
        <v>0</v>
      </c>
      <c r="Q372">
        <f t="shared" si="66"/>
        <v>0</v>
      </c>
      <c r="R372">
        <f t="shared" si="67"/>
        <v>0</v>
      </c>
      <c r="S372">
        <f t="shared" si="68"/>
        <v>0</v>
      </c>
      <c r="T372">
        <f t="shared" si="69"/>
        <v>0</v>
      </c>
    </row>
    <row r="373" spans="1:20" ht="18" customHeight="1">
      <c r="A373" s="508" t="s">
        <v>516</v>
      </c>
      <c r="B373" s="624"/>
      <c r="C373" s="488">
        <v>46156</v>
      </c>
      <c r="D373" s="489" t="s">
        <v>232</v>
      </c>
      <c r="E373" s="489" t="s">
        <v>504</v>
      </c>
      <c r="F373" s="489" t="s">
        <v>209</v>
      </c>
      <c r="G373" s="489" t="s">
        <v>222</v>
      </c>
      <c r="H373" s="490">
        <v>66.14</v>
      </c>
      <c r="I373" s="489" t="s">
        <v>220</v>
      </c>
      <c r="N373">
        <f t="shared" si="63"/>
        <v>66.14</v>
      </c>
      <c r="O373">
        <f t="shared" si="64"/>
        <v>0</v>
      </c>
      <c r="P373">
        <f t="shared" si="65"/>
        <v>0</v>
      </c>
      <c r="Q373">
        <f t="shared" si="66"/>
        <v>0</v>
      </c>
      <c r="R373">
        <f t="shared" si="67"/>
        <v>0</v>
      </c>
      <c r="S373">
        <f t="shared" si="68"/>
        <v>0</v>
      </c>
      <c r="T373">
        <f t="shared" si="69"/>
        <v>0</v>
      </c>
    </row>
    <row r="374" spans="1:20" ht="18" customHeight="1">
      <c r="A374" s="508" t="s">
        <v>516</v>
      </c>
      <c r="B374" s="624"/>
      <c r="C374" s="488">
        <v>46127</v>
      </c>
      <c r="D374" s="489" t="s">
        <v>566</v>
      </c>
      <c r="E374" s="489" t="s">
        <v>504</v>
      </c>
      <c r="F374" s="489" t="s">
        <v>209</v>
      </c>
      <c r="G374" s="489" t="s">
        <v>222</v>
      </c>
      <c r="H374" s="490">
        <v>43.31</v>
      </c>
      <c r="I374" s="489" t="s">
        <v>517</v>
      </c>
      <c r="N374">
        <f t="shared" si="63"/>
        <v>43.31</v>
      </c>
      <c r="O374">
        <f t="shared" si="64"/>
        <v>0</v>
      </c>
      <c r="P374">
        <f t="shared" si="65"/>
        <v>0</v>
      </c>
      <c r="Q374">
        <f t="shared" si="66"/>
        <v>0</v>
      </c>
      <c r="R374">
        <f t="shared" si="67"/>
        <v>0</v>
      </c>
      <c r="S374">
        <f t="shared" si="68"/>
        <v>0</v>
      </c>
      <c r="T374">
        <f t="shared" si="69"/>
        <v>0</v>
      </c>
    </row>
    <row r="375" spans="1:20" ht="18" customHeight="1">
      <c r="A375" s="508" t="s">
        <v>516</v>
      </c>
      <c r="B375" s="624"/>
      <c r="C375" s="488">
        <v>46127</v>
      </c>
      <c r="D375" s="489" t="s">
        <v>104</v>
      </c>
      <c r="E375" s="489" t="s">
        <v>504</v>
      </c>
      <c r="F375" s="489" t="s">
        <v>209</v>
      </c>
      <c r="G375" s="489" t="s">
        <v>222</v>
      </c>
      <c r="H375" s="490">
        <v>12.45</v>
      </c>
      <c r="I375" s="489" t="s">
        <v>517</v>
      </c>
      <c r="N375">
        <f t="shared" si="63"/>
        <v>12.45</v>
      </c>
      <c r="O375">
        <f t="shared" si="64"/>
        <v>0</v>
      </c>
      <c r="P375">
        <f t="shared" si="65"/>
        <v>0</v>
      </c>
      <c r="Q375">
        <f t="shared" si="66"/>
        <v>0</v>
      </c>
      <c r="R375">
        <f t="shared" si="67"/>
        <v>0</v>
      </c>
      <c r="S375">
        <f t="shared" si="68"/>
        <v>0</v>
      </c>
      <c r="T375">
        <f t="shared" si="69"/>
        <v>0</v>
      </c>
    </row>
    <row r="376" spans="1:20" ht="18" customHeight="1">
      <c r="A376" s="508" t="s">
        <v>516</v>
      </c>
      <c r="B376" s="624"/>
      <c r="C376" s="488">
        <v>46128</v>
      </c>
      <c r="D376" s="489" t="s">
        <v>567</v>
      </c>
      <c r="E376" s="489" t="s">
        <v>211</v>
      </c>
      <c r="F376" s="489" t="s">
        <v>314</v>
      </c>
      <c r="G376" s="489" t="s">
        <v>211</v>
      </c>
      <c r="H376" s="490">
        <v>350</v>
      </c>
      <c r="I376" s="489" t="s">
        <v>216</v>
      </c>
      <c r="N376">
        <f t="shared" si="63"/>
        <v>0</v>
      </c>
      <c r="O376">
        <f t="shared" si="64"/>
        <v>0</v>
      </c>
      <c r="P376">
        <f t="shared" si="65"/>
        <v>0</v>
      </c>
      <c r="Q376">
        <f t="shared" si="66"/>
        <v>0</v>
      </c>
      <c r="R376">
        <f t="shared" si="67"/>
        <v>0</v>
      </c>
      <c r="S376">
        <f t="shared" si="68"/>
        <v>350</v>
      </c>
      <c r="T376">
        <f t="shared" si="69"/>
        <v>0</v>
      </c>
    </row>
    <row r="377" spans="1:20" ht="18" customHeight="1">
      <c r="A377" s="508" t="s">
        <v>516</v>
      </c>
      <c r="B377" s="624"/>
      <c r="C377" s="488"/>
      <c r="D377" s="489"/>
      <c r="E377" s="489"/>
      <c r="F377" s="489"/>
      <c r="G377" s="489"/>
      <c r="H377" s="490"/>
      <c r="I377" s="489"/>
      <c r="N377">
        <f t="shared" si="63"/>
        <v>0</v>
      </c>
      <c r="O377">
        <f t="shared" si="64"/>
        <v>0</v>
      </c>
      <c r="P377">
        <f t="shared" si="65"/>
        <v>0</v>
      </c>
      <c r="Q377">
        <f t="shared" si="66"/>
        <v>0</v>
      </c>
      <c r="R377">
        <f t="shared" si="67"/>
        <v>0</v>
      </c>
      <c r="S377">
        <f t="shared" si="68"/>
        <v>0</v>
      </c>
      <c r="T377">
        <f t="shared" si="69"/>
        <v>0</v>
      </c>
    </row>
    <row r="378" spans="1:20" ht="18" customHeight="1">
      <c r="A378" s="508" t="s">
        <v>516</v>
      </c>
      <c r="B378" s="624"/>
      <c r="C378" s="488"/>
      <c r="D378" s="489"/>
      <c r="E378" s="489"/>
      <c r="F378" s="489"/>
      <c r="G378" s="489"/>
      <c r="H378" s="490"/>
      <c r="I378" s="489"/>
      <c r="N378">
        <f t="shared" si="63"/>
        <v>0</v>
      </c>
      <c r="O378">
        <f t="shared" si="64"/>
        <v>0</v>
      </c>
      <c r="P378">
        <f t="shared" si="65"/>
        <v>0</v>
      </c>
      <c r="Q378">
        <f t="shared" si="66"/>
        <v>0</v>
      </c>
      <c r="R378">
        <f t="shared" si="67"/>
        <v>0</v>
      </c>
      <c r="S378">
        <f t="shared" si="68"/>
        <v>0</v>
      </c>
      <c r="T378">
        <f t="shared" si="69"/>
        <v>0</v>
      </c>
    </row>
    <row r="379" spans="1:20" ht="18" customHeight="1">
      <c r="A379" s="508" t="s">
        <v>516</v>
      </c>
      <c r="B379" s="624"/>
      <c r="C379" s="488"/>
      <c r="D379" s="489"/>
      <c r="E379" s="489"/>
      <c r="F379" s="489"/>
      <c r="G379" s="489"/>
      <c r="H379" s="490"/>
      <c r="I379" s="489"/>
      <c r="N379">
        <f t="shared" si="63"/>
        <v>0</v>
      </c>
      <c r="O379">
        <f t="shared" si="64"/>
        <v>0</v>
      </c>
      <c r="P379">
        <f t="shared" si="65"/>
        <v>0</v>
      </c>
      <c r="Q379">
        <f t="shared" si="66"/>
        <v>0</v>
      </c>
      <c r="R379">
        <f t="shared" si="67"/>
        <v>0</v>
      </c>
      <c r="S379">
        <f t="shared" si="68"/>
        <v>0</v>
      </c>
      <c r="T379">
        <f t="shared" si="69"/>
        <v>0</v>
      </c>
    </row>
    <row r="380" spans="1:20" ht="18" customHeight="1">
      <c r="A380" s="508" t="s">
        <v>516</v>
      </c>
      <c r="B380" s="624"/>
      <c r="C380" s="488"/>
      <c r="D380" s="489"/>
      <c r="E380" s="489"/>
      <c r="F380" s="489"/>
      <c r="G380" s="489"/>
      <c r="H380" s="490"/>
      <c r="I380" s="489"/>
      <c r="N380">
        <f t="shared" si="63"/>
        <v>0</v>
      </c>
      <c r="O380">
        <f t="shared" si="64"/>
        <v>0</v>
      </c>
      <c r="P380">
        <f t="shared" si="65"/>
        <v>0</v>
      </c>
      <c r="Q380">
        <f t="shared" si="66"/>
        <v>0</v>
      </c>
      <c r="R380">
        <f t="shared" si="67"/>
        <v>0</v>
      </c>
      <c r="S380">
        <f t="shared" si="68"/>
        <v>0</v>
      </c>
      <c r="T380">
        <f t="shared" si="69"/>
        <v>0</v>
      </c>
    </row>
    <row r="381" spans="1:20" ht="18" customHeight="1">
      <c r="A381" s="508" t="s">
        <v>516</v>
      </c>
      <c r="B381" s="624"/>
      <c r="C381" s="488"/>
      <c r="D381" s="489"/>
      <c r="E381" s="489"/>
      <c r="F381" s="489"/>
      <c r="G381" s="489"/>
      <c r="H381" s="490"/>
      <c r="I381" s="489"/>
      <c r="N381">
        <f t="shared" si="63"/>
        <v>0</v>
      </c>
      <c r="O381">
        <f t="shared" si="64"/>
        <v>0</v>
      </c>
      <c r="P381">
        <f t="shared" si="65"/>
        <v>0</v>
      </c>
      <c r="Q381">
        <f t="shared" si="66"/>
        <v>0</v>
      </c>
      <c r="R381">
        <f t="shared" si="67"/>
        <v>0</v>
      </c>
      <c r="S381">
        <f t="shared" si="68"/>
        <v>0</v>
      </c>
      <c r="T381">
        <f t="shared" si="69"/>
        <v>0</v>
      </c>
    </row>
    <row r="382" spans="1:20" ht="18" customHeight="1">
      <c r="A382" s="508" t="s">
        <v>516</v>
      </c>
      <c r="B382" s="624"/>
      <c r="C382" s="488"/>
      <c r="D382" s="489"/>
      <c r="E382" s="489"/>
      <c r="F382" s="489"/>
      <c r="G382" s="489"/>
      <c r="H382" s="490"/>
      <c r="I382" s="489"/>
      <c r="N382">
        <f t="shared" si="63"/>
        <v>0</v>
      </c>
      <c r="O382">
        <f t="shared" si="64"/>
        <v>0</v>
      </c>
      <c r="P382">
        <f t="shared" si="65"/>
        <v>0</v>
      </c>
      <c r="Q382">
        <f t="shared" si="66"/>
        <v>0</v>
      </c>
      <c r="R382">
        <f t="shared" si="67"/>
        <v>0</v>
      </c>
      <c r="S382">
        <f t="shared" si="68"/>
        <v>0</v>
      </c>
      <c r="T382">
        <f t="shared" si="69"/>
        <v>0</v>
      </c>
    </row>
    <row r="383" spans="1:20" ht="18" customHeight="1">
      <c r="A383" s="508" t="s">
        <v>516</v>
      </c>
      <c r="B383" s="624"/>
      <c r="C383" s="488"/>
      <c r="D383" s="489"/>
      <c r="E383" s="489"/>
      <c r="F383" s="489"/>
      <c r="G383" s="489"/>
      <c r="H383" s="490"/>
      <c r="I383" s="489"/>
      <c r="N383">
        <f t="shared" si="63"/>
        <v>0</v>
      </c>
      <c r="O383">
        <f t="shared" si="64"/>
        <v>0</v>
      </c>
      <c r="P383">
        <f t="shared" si="65"/>
        <v>0</v>
      </c>
      <c r="Q383">
        <f t="shared" si="66"/>
        <v>0</v>
      </c>
      <c r="R383">
        <f t="shared" si="67"/>
        <v>0</v>
      </c>
      <c r="S383">
        <f t="shared" si="68"/>
        <v>0</v>
      </c>
      <c r="T383">
        <f t="shared" si="69"/>
        <v>0</v>
      </c>
    </row>
    <row r="384" spans="1:20" ht="18" customHeight="1">
      <c r="A384" s="508" t="s">
        <v>516</v>
      </c>
      <c r="B384" s="624"/>
      <c r="C384" s="488"/>
      <c r="D384" s="489"/>
      <c r="E384" s="489"/>
      <c r="F384" s="489"/>
      <c r="G384" s="489"/>
      <c r="H384" s="490"/>
      <c r="I384" s="489"/>
      <c r="N384">
        <f t="shared" si="63"/>
        <v>0</v>
      </c>
      <c r="O384">
        <f t="shared" si="64"/>
        <v>0</v>
      </c>
      <c r="P384">
        <f t="shared" si="65"/>
        <v>0</v>
      </c>
      <c r="Q384">
        <f t="shared" si="66"/>
        <v>0</v>
      </c>
      <c r="R384">
        <f t="shared" si="67"/>
        <v>0</v>
      </c>
      <c r="S384">
        <f t="shared" si="68"/>
        <v>0</v>
      </c>
      <c r="T384">
        <f t="shared" si="69"/>
        <v>0</v>
      </c>
    </row>
    <row r="385" spans="1:20" ht="18" customHeight="1">
      <c r="A385" s="508" t="s">
        <v>516</v>
      </c>
      <c r="B385" s="624"/>
      <c r="C385" s="488"/>
      <c r="D385" s="489"/>
      <c r="E385" s="489"/>
      <c r="F385" s="489"/>
      <c r="G385" s="489"/>
      <c r="H385" s="490"/>
      <c r="I385" s="489"/>
      <c r="N385">
        <f t="shared" si="63"/>
        <v>0</v>
      </c>
      <c r="O385">
        <f t="shared" si="64"/>
        <v>0</v>
      </c>
      <c r="P385">
        <f t="shared" si="65"/>
        <v>0</v>
      </c>
      <c r="Q385">
        <f t="shared" si="66"/>
        <v>0</v>
      </c>
      <c r="R385">
        <f t="shared" si="67"/>
        <v>0</v>
      </c>
      <c r="S385">
        <f t="shared" si="68"/>
        <v>0</v>
      </c>
      <c r="T385">
        <f t="shared" si="69"/>
        <v>0</v>
      </c>
    </row>
    <row r="386" spans="1:20" ht="18" customHeight="1">
      <c r="A386" s="508" t="s">
        <v>516</v>
      </c>
      <c r="B386" s="624"/>
      <c r="C386" s="488"/>
      <c r="D386" s="489"/>
      <c r="E386" s="489"/>
      <c r="F386" s="489"/>
      <c r="G386" s="489"/>
      <c r="H386" s="490"/>
      <c r="I386" s="489"/>
      <c r="N386">
        <f t="shared" si="63"/>
        <v>0</v>
      </c>
      <c r="O386">
        <f t="shared" si="64"/>
        <v>0</v>
      </c>
      <c r="P386">
        <f t="shared" si="65"/>
        <v>0</v>
      </c>
      <c r="Q386">
        <f t="shared" si="66"/>
        <v>0</v>
      </c>
      <c r="R386">
        <f t="shared" si="67"/>
        <v>0</v>
      </c>
      <c r="S386">
        <f t="shared" si="68"/>
        <v>0</v>
      </c>
      <c r="T386">
        <f t="shared" si="69"/>
        <v>0</v>
      </c>
    </row>
    <row r="387" spans="1:20" ht="18" customHeight="1">
      <c r="A387" t="s">
        <v>516</v>
      </c>
      <c r="B387" s="624"/>
      <c r="C387" s="489"/>
      <c r="D387" s="489"/>
      <c r="E387" s="489"/>
      <c r="F387" s="489"/>
      <c r="G387" s="489"/>
      <c r="H387" s="490"/>
      <c r="I387" s="489"/>
    </row>
    <row r="388" spans="1:20" ht="18" customHeight="1">
      <c r="A388" t="s">
        <v>516</v>
      </c>
      <c r="B388" s="625"/>
      <c r="C388" s="489"/>
      <c r="D388" s="489"/>
      <c r="E388" s="489"/>
      <c r="F388" s="489"/>
      <c r="G388" s="489"/>
      <c r="H388" s="490"/>
      <c r="I388" s="489"/>
    </row>
    <row r="389" spans="1:20" ht="18" customHeight="1">
      <c r="A389" t="s">
        <v>516</v>
      </c>
      <c r="B389" s="614" t="s">
        <v>254</v>
      </c>
      <c r="C389" s="612"/>
      <c r="D389" s="612"/>
      <c r="E389" s="612"/>
      <c r="F389" s="612"/>
      <c r="G389" s="613"/>
      <c r="H389" s="510">
        <f>SUMIFS($H:$H,$A:$A,"12/5/26 -&gt; 18/5/26",$E:$E,"Income")</f>
        <v>1162.92</v>
      </c>
      <c r="I389" s="252"/>
    </row>
    <row r="390" spans="1:20" ht="18" customHeight="1">
      <c r="A390" t="s">
        <v>516</v>
      </c>
      <c r="B390" s="611" t="s">
        <v>493</v>
      </c>
      <c r="C390" s="612"/>
      <c r="D390" s="612"/>
      <c r="E390" s="612"/>
      <c r="F390" s="612"/>
      <c r="G390" s="613"/>
      <c r="H390" s="509">
        <f>SUMIFS($H:$H,$A:$A,"12/5/26 -&gt; 18/5/26",$E:$E,"Joint Account")</f>
        <v>400</v>
      </c>
      <c r="I390" s="515"/>
    </row>
    <row r="391" spans="1:20" ht="18" customHeight="1">
      <c r="A391" t="s">
        <v>516</v>
      </c>
      <c r="B391" s="611" t="s">
        <v>494</v>
      </c>
      <c r="C391" s="612"/>
      <c r="D391" s="612"/>
      <c r="E391" s="612"/>
      <c r="F391" s="612"/>
      <c r="G391" s="613"/>
      <c r="H391" s="509">
        <f>SUMIFS($H:$H,$A:$A,"12/5/26 -&gt; 18/5/26",$E:$E,"Recurring Expense")</f>
        <v>150</v>
      </c>
      <c r="I391" s="515"/>
    </row>
    <row r="392" spans="1:20" ht="18" customHeight="1">
      <c r="A392" t="s">
        <v>516</v>
      </c>
      <c r="B392" s="611" t="s">
        <v>227</v>
      </c>
      <c r="C392" s="612"/>
      <c r="D392" s="612"/>
      <c r="E392" s="612"/>
      <c r="F392" s="612"/>
      <c r="G392" s="613"/>
      <c r="H392" s="509">
        <f>SUMIFS($H:$H,$A:$A,"12/5/26 -&gt; 18/5/26",$E:$E,"Investment")</f>
        <v>50</v>
      </c>
      <c r="I392" s="515"/>
    </row>
    <row r="393" spans="1:20" ht="18" customHeight="1">
      <c r="A393" t="s">
        <v>516</v>
      </c>
      <c r="B393" s="611" t="s">
        <v>250</v>
      </c>
      <c r="C393" s="612"/>
      <c r="D393" s="612"/>
      <c r="E393" s="612"/>
      <c r="F393" s="612"/>
      <c r="G393" s="613"/>
      <c r="H393" s="509">
        <f>SUMIFS($H:$H,$A:$A,"12/5/26 -&gt; 18/5/26",$E:$E,"Saving Allocation")</f>
        <v>750</v>
      </c>
      <c r="I393" s="515"/>
    </row>
    <row r="394" spans="1:20" ht="18" customHeight="1">
      <c r="A394" t="s">
        <v>516</v>
      </c>
      <c r="B394" s="611" t="s">
        <v>496</v>
      </c>
      <c r="C394" s="612"/>
      <c r="D394" s="612"/>
      <c r="E394" s="612"/>
      <c r="F394" s="612"/>
      <c r="G394" s="613"/>
      <c r="H394" s="509">
        <f>SUMIFS($H:$H,$A:$A,"12/5/26 -&gt; 18/5/26",$E:$E,"Personal Expense")</f>
        <v>134.35</v>
      </c>
      <c r="I394" s="515"/>
      <c r="L394" s="524"/>
    </row>
    <row r="395" spans="1:20" ht="18" customHeight="1">
      <c r="A395" t="s">
        <v>516</v>
      </c>
      <c r="B395" s="626" t="s">
        <v>253</v>
      </c>
      <c r="C395" s="612"/>
      <c r="D395" s="612"/>
      <c r="E395" s="612"/>
      <c r="F395" s="612"/>
      <c r="G395" s="613"/>
      <c r="H395" s="513">
        <f>SUMIFS($H:$H,$A:$A,"12/5/26 -&gt; 18/5/26",$E:$E,"Joint Account")+SUMIFS($H:$H,$A:$A,"12/5/26 -&gt; 18/5/26",$E:$E,"Recurring Expense")+SUMIFS($H:$H,$A:$A,"12/5/26 -&gt; 18/5/26",$E:$E,"Investment")+SUMIFS($H:$H,$A:$A,"12/5/26 -&gt; 18/5/26",$E:$E,"Saving Allocation")+SUMIFS($H:$H,$A:$A,"12/5/26 -&gt; 18/5/26",$E:$E,"Personal Expense")+SUMIFS($H:$H,$A:$A,"12/5/26 -&gt; 18/5/26",$E:$E,"Debt Repayment")</f>
        <v>1484.35</v>
      </c>
      <c r="I395" s="514"/>
      <c r="L395" s="524"/>
    </row>
    <row r="396" spans="1:20" ht="18" customHeight="1">
      <c r="A396" t="s">
        <v>516</v>
      </c>
      <c r="B396" s="617" t="s">
        <v>497</v>
      </c>
      <c r="C396" s="618"/>
      <c r="D396" s="618"/>
      <c r="E396" s="618"/>
      <c r="F396" s="618"/>
      <c r="G396" s="619"/>
      <c r="H396" s="586">
        <f>SUMIFS($H:$H,$A:$A,"12/5/26 -&gt; 18/5/26",$E:$E,"Income")-SUMIFS($H:$H,$A:$A,"12/5/26 -&gt; 18/5/26",$E:$E,"Joint Account")-SUMIFS($H:$H,$A:$A,"12/5/26 -&gt; 18/5/26",$E:$E,"Recurring Expense")-SUMIFS($H:$H,$A:$A,"12/5/26 -&gt; 18/5/26",$E:$E,"Investment")-SUMIFS($H:$H,$A:$A,"12/5/26 -&gt; 18/5/26",$E:$E,"Saving Allocation")-SUMIFS($H:$H,$A:$A,"12/5/26 -&gt; 18/5/26",$E:$E,"Personal Expense")-SUMIFS($H:$H,$A:$A,"12/5/26 -&gt; 18/5/26",$E:$E,"Debt Repayment")</f>
        <v>-321.42999999999995</v>
      </c>
      <c r="I396" s="514"/>
      <c r="L396" s="524"/>
    </row>
    <row r="397" spans="1:20" ht="18" customHeight="1">
      <c r="B397" s="626" t="s">
        <v>554</v>
      </c>
      <c r="C397" s="612"/>
      <c r="D397" s="612"/>
      <c r="E397" s="612"/>
      <c r="F397" s="612"/>
      <c r="G397" s="613"/>
      <c r="H397" s="513">
        <f>SUMIFS($H:$H,$A:$A,"12/5/26 -&gt; 18/5/26",$E:$E,"Income")-SUMIFS($H:$H,$A:$A,"12/5/26 -&gt; 18/5/26",$E:$E,"Joint Account")-SUMIFS($H:$H,$A:$A,"12/5/26 -&gt; 18/5/26",$E:$E,"Recurring Expense")-SUMIFS($H:$H,$A:$A,"12/5/26 -&gt; 18/5/26",$E:$E,"Investment")-SUMIFS($H:$H,$A:$A,"12/5/26 -&gt; 18/5/26",$E:$E,"Personal Expense")-SUMIFS($H:$H,$A:$A,"12/5/26 -&gt; 18/5/26",$E:$E,"Debt Repayment")</f>
        <v>428.57000000000005</v>
      </c>
      <c r="I397" s="514"/>
      <c r="L397" s="524"/>
    </row>
    <row r="398" spans="1:20" ht="18" customHeight="1">
      <c r="B398" s="499"/>
      <c r="C398" s="499"/>
      <c r="D398" s="499"/>
      <c r="E398" s="499"/>
      <c r="F398" s="499"/>
      <c r="G398" s="499"/>
      <c r="H398" s="499"/>
      <c r="I398" s="499"/>
      <c r="L398" s="524"/>
    </row>
    <row r="399" spans="1:20" ht="18" customHeight="1">
      <c r="A399" s="508" t="s">
        <v>515</v>
      </c>
      <c r="B399" s="623" t="s">
        <v>515</v>
      </c>
      <c r="C399" s="485"/>
      <c r="D399" s="486"/>
      <c r="E399" s="486"/>
      <c r="F399" s="486"/>
      <c r="G399" s="486"/>
      <c r="H399" s="487"/>
      <c r="I399" s="486"/>
      <c r="L399" s="524"/>
      <c r="N399">
        <f t="shared" ref="N399:N418" si="70">IF(OR(E399="Personal Expense",E399="Recurring Expense"),H399,0)</f>
        <v>0</v>
      </c>
      <c r="O399">
        <f t="shared" ref="O399:O418" si="71">IF(E399="Internal Transfer",H399,0)</f>
        <v>0</v>
      </c>
      <c r="P399">
        <f t="shared" ref="P399:P418" si="72">IF(E399="Saving Allocation",H399,0)</f>
        <v>0</v>
      </c>
      <c r="Q399">
        <f t="shared" ref="Q399:Q418" si="73">IF(E399="Investment",H399,0)</f>
        <v>0</v>
      </c>
      <c r="R399">
        <f t="shared" ref="R399:R418" si="74">IF(E399="Debt Repayment",H399,0)</f>
        <v>0</v>
      </c>
      <c r="S399">
        <f t="shared" ref="S399:S418" si="75">IF(E399="Joint Account",H399,0)</f>
        <v>0</v>
      </c>
      <c r="T399">
        <f t="shared" ref="T399:T418" si="76">IF(E399="Income",H399,0)</f>
        <v>0</v>
      </c>
    </row>
    <row r="400" spans="1:20" ht="18" customHeight="1">
      <c r="A400" s="508" t="s">
        <v>515</v>
      </c>
      <c r="B400" s="624"/>
      <c r="C400" s="488"/>
      <c r="D400" s="489"/>
      <c r="E400" s="489"/>
      <c r="F400" s="489"/>
      <c r="G400" s="489"/>
      <c r="H400" s="490"/>
      <c r="I400" s="489"/>
      <c r="L400" s="524"/>
      <c r="N400">
        <f t="shared" si="70"/>
        <v>0</v>
      </c>
      <c r="O400">
        <f t="shared" si="71"/>
        <v>0</v>
      </c>
      <c r="P400">
        <f t="shared" si="72"/>
        <v>0</v>
      </c>
      <c r="Q400">
        <f t="shared" si="73"/>
        <v>0</v>
      </c>
      <c r="R400">
        <f t="shared" si="74"/>
        <v>0</v>
      </c>
      <c r="S400">
        <f t="shared" si="75"/>
        <v>0</v>
      </c>
      <c r="T400">
        <f t="shared" si="76"/>
        <v>0</v>
      </c>
    </row>
    <row r="401" spans="1:20" ht="18" customHeight="1">
      <c r="A401" s="508" t="s">
        <v>515</v>
      </c>
      <c r="B401" s="624"/>
      <c r="C401" s="488"/>
      <c r="D401" s="489"/>
      <c r="E401" s="489"/>
      <c r="F401" s="489"/>
      <c r="G401" s="489"/>
      <c r="H401" s="490"/>
      <c r="I401" s="489"/>
      <c r="L401" s="524"/>
      <c r="N401">
        <f t="shared" si="70"/>
        <v>0</v>
      </c>
      <c r="O401">
        <f t="shared" si="71"/>
        <v>0</v>
      </c>
      <c r="P401">
        <f t="shared" si="72"/>
        <v>0</v>
      </c>
      <c r="Q401">
        <f t="shared" si="73"/>
        <v>0</v>
      </c>
      <c r="R401">
        <f t="shared" si="74"/>
        <v>0</v>
      </c>
      <c r="S401">
        <f t="shared" si="75"/>
        <v>0</v>
      </c>
      <c r="T401">
        <f t="shared" si="76"/>
        <v>0</v>
      </c>
    </row>
    <row r="402" spans="1:20" ht="18" customHeight="1">
      <c r="A402" s="508" t="s">
        <v>515</v>
      </c>
      <c r="B402" s="624"/>
      <c r="C402" s="488"/>
      <c r="D402" s="489"/>
      <c r="E402" s="489"/>
      <c r="F402" s="489"/>
      <c r="G402" s="489"/>
      <c r="H402" s="490"/>
      <c r="I402" s="489"/>
      <c r="L402" s="524"/>
      <c r="N402">
        <f t="shared" si="70"/>
        <v>0</v>
      </c>
      <c r="O402">
        <f t="shared" si="71"/>
        <v>0</v>
      </c>
      <c r="P402">
        <f t="shared" si="72"/>
        <v>0</v>
      </c>
      <c r="Q402">
        <f t="shared" si="73"/>
        <v>0</v>
      </c>
      <c r="R402">
        <f t="shared" si="74"/>
        <v>0</v>
      </c>
      <c r="S402">
        <f t="shared" si="75"/>
        <v>0</v>
      </c>
      <c r="T402">
        <f t="shared" si="76"/>
        <v>0</v>
      </c>
    </row>
    <row r="403" spans="1:20" ht="18" customHeight="1">
      <c r="A403" s="508" t="s">
        <v>515</v>
      </c>
      <c r="B403" s="624"/>
      <c r="C403" s="488"/>
      <c r="D403" s="489"/>
      <c r="E403" s="489"/>
      <c r="F403" s="489"/>
      <c r="G403" s="489"/>
      <c r="H403" s="490"/>
      <c r="I403" s="489"/>
      <c r="L403" s="524"/>
      <c r="N403">
        <f t="shared" si="70"/>
        <v>0</v>
      </c>
      <c r="O403">
        <f t="shared" si="71"/>
        <v>0</v>
      </c>
      <c r="P403">
        <f t="shared" si="72"/>
        <v>0</v>
      </c>
      <c r="Q403">
        <f t="shared" si="73"/>
        <v>0</v>
      </c>
      <c r="R403">
        <f t="shared" si="74"/>
        <v>0</v>
      </c>
      <c r="S403">
        <f t="shared" si="75"/>
        <v>0</v>
      </c>
      <c r="T403">
        <f t="shared" si="76"/>
        <v>0</v>
      </c>
    </row>
    <row r="404" spans="1:20" ht="18" customHeight="1">
      <c r="A404" s="508" t="s">
        <v>515</v>
      </c>
      <c r="B404" s="624"/>
      <c r="C404" s="488"/>
      <c r="D404" s="489"/>
      <c r="E404" s="489"/>
      <c r="F404" s="489"/>
      <c r="G404" s="489"/>
      <c r="H404" s="490"/>
      <c r="I404" s="489"/>
      <c r="L404" s="524"/>
      <c r="N404">
        <f t="shared" si="70"/>
        <v>0</v>
      </c>
      <c r="O404">
        <f t="shared" si="71"/>
        <v>0</v>
      </c>
      <c r="P404">
        <f t="shared" si="72"/>
        <v>0</v>
      </c>
      <c r="Q404">
        <f t="shared" si="73"/>
        <v>0</v>
      </c>
      <c r="R404">
        <f t="shared" si="74"/>
        <v>0</v>
      </c>
      <c r="S404">
        <f t="shared" si="75"/>
        <v>0</v>
      </c>
      <c r="T404">
        <f t="shared" si="76"/>
        <v>0</v>
      </c>
    </row>
    <row r="405" spans="1:20" ht="18" customHeight="1">
      <c r="A405" s="508" t="s">
        <v>515</v>
      </c>
      <c r="B405" s="624"/>
      <c r="C405" s="488"/>
      <c r="D405" s="489"/>
      <c r="E405" s="489"/>
      <c r="F405" s="489"/>
      <c r="G405" s="489"/>
      <c r="H405" s="490"/>
      <c r="I405" s="489"/>
      <c r="L405" s="524"/>
      <c r="N405">
        <f t="shared" si="70"/>
        <v>0</v>
      </c>
      <c r="O405">
        <f t="shared" si="71"/>
        <v>0</v>
      </c>
      <c r="P405">
        <f t="shared" si="72"/>
        <v>0</v>
      </c>
      <c r="Q405">
        <f t="shared" si="73"/>
        <v>0</v>
      </c>
      <c r="R405">
        <f t="shared" si="74"/>
        <v>0</v>
      </c>
      <c r="S405">
        <f t="shared" si="75"/>
        <v>0</v>
      </c>
      <c r="T405">
        <f t="shared" si="76"/>
        <v>0</v>
      </c>
    </row>
    <row r="406" spans="1:20" ht="18" customHeight="1">
      <c r="A406" s="508" t="s">
        <v>515</v>
      </c>
      <c r="B406" s="624"/>
      <c r="C406" s="488"/>
      <c r="D406" s="489"/>
      <c r="E406" s="489"/>
      <c r="F406" s="489"/>
      <c r="G406" s="489"/>
      <c r="H406" s="490"/>
      <c r="I406" s="489"/>
      <c r="L406" s="524"/>
      <c r="N406">
        <f t="shared" si="70"/>
        <v>0</v>
      </c>
      <c r="O406">
        <f t="shared" si="71"/>
        <v>0</v>
      </c>
      <c r="P406">
        <f t="shared" si="72"/>
        <v>0</v>
      </c>
      <c r="Q406">
        <f t="shared" si="73"/>
        <v>0</v>
      </c>
      <c r="R406">
        <f t="shared" si="74"/>
        <v>0</v>
      </c>
      <c r="S406">
        <f t="shared" si="75"/>
        <v>0</v>
      </c>
      <c r="T406">
        <f t="shared" si="76"/>
        <v>0</v>
      </c>
    </row>
    <row r="407" spans="1:20" ht="18" customHeight="1">
      <c r="A407" s="508" t="s">
        <v>515</v>
      </c>
      <c r="B407" s="624"/>
      <c r="C407" s="488"/>
      <c r="D407" s="489"/>
      <c r="E407" s="489"/>
      <c r="F407" s="489"/>
      <c r="G407" s="489"/>
      <c r="H407" s="490"/>
      <c r="I407" s="489"/>
      <c r="L407" s="524"/>
      <c r="N407">
        <f t="shared" si="70"/>
        <v>0</v>
      </c>
      <c r="O407">
        <f t="shared" si="71"/>
        <v>0</v>
      </c>
      <c r="P407">
        <f t="shared" si="72"/>
        <v>0</v>
      </c>
      <c r="Q407">
        <f t="shared" si="73"/>
        <v>0</v>
      </c>
      <c r="R407">
        <f t="shared" si="74"/>
        <v>0</v>
      </c>
      <c r="S407">
        <f t="shared" si="75"/>
        <v>0</v>
      </c>
      <c r="T407">
        <f t="shared" si="76"/>
        <v>0</v>
      </c>
    </row>
    <row r="408" spans="1:20" ht="18" customHeight="1">
      <c r="A408" s="508" t="s">
        <v>515</v>
      </c>
      <c r="B408" s="624"/>
      <c r="C408" s="488"/>
      <c r="D408" s="489"/>
      <c r="E408" s="489"/>
      <c r="F408" s="489"/>
      <c r="G408" s="489"/>
      <c r="H408" s="490"/>
      <c r="I408" s="489"/>
      <c r="L408" s="524"/>
      <c r="N408">
        <f t="shared" si="70"/>
        <v>0</v>
      </c>
      <c r="O408">
        <f t="shared" si="71"/>
        <v>0</v>
      </c>
      <c r="P408">
        <f t="shared" si="72"/>
        <v>0</v>
      </c>
      <c r="Q408">
        <f t="shared" si="73"/>
        <v>0</v>
      </c>
      <c r="R408">
        <f t="shared" si="74"/>
        <v>0</v>
      </c>
      <c r="S408">
        <f t="shared" si="75"/>
        <v>0</v>
      </c>
      <c r="T408">
        <f t="shared" si="76"/>
        <v>0</v>
      </c>
    </row>
    <row r="409" spans="1:20" ht="18" customHeight="1">
      <c r="A409" s="508" t="s">
        <v>515</v>
      </c>
      <c r="B409" s="624"/>
      <c r="C409" s="488"/>
      <c r="D409" s="489"/>
      <c r="E409" s="489"/>
      <c r="F409" s="489"/>
      <c r="G409" s="489"/>
      <c r="H409" s="490"/>
      <c r="I409" s="489"/>
      <c r="L409" s="524"/>
      <c r="N409">
        <f t="shared" si="70"/>
        <v>0</v>
      </c>
      <c r="O409">
        <f t="shared" si="71"/>
        <v>0</v>
      </c>
      <c r="P409">
        <f t="shared" si="72"/>
        <v>0</v>
      </c>
      <c r="Q409">
        <f t="shared" si="73"/>
        <v>0</v>
      </c>
      <c r="R409">
        <f t="shared" si="74"/>
        <v>0</v>
      </c>
      <c r="S409">
        <f t="shared" si="75"/>
        <v>0</v>
      </c>
      <c r="T409">
        <f t="shared" si="76"/>
        <v>0</v>
      </c>
    </row>
    <row r="410" spans="1:20" ht="18" customHeight="1">
      <c r="A410" s="508" t="s">
        <v>515</v>
      </c>
      <c r="B410" s="624"/>
      <c r="C410" s="488"/>
      <c r="D410" s="489"/>
      <c r="E410" s="489"/>
      <c r="F410" s="489"/>
      <c r="G410" s="489"/>
      <c r="H410" s="490"/>
      <c r="I410" s="489"/>
      <c r="L410" s="524"/>
      <c r="N410">
        <f t="shared" si="70"/>
        <v>0</v>
      </c>
      <c r="O410">
        <f t="shared" si="71"/>
        <v>0</v>
      </c>
      <c r="P410">
        <f t="shared" si="72"/>
        <v>0</v>
      </c>
      <c r="Q410">
        <f t="shared" si="73"/>
        <v>0</v>
      </c>
      <c r="R410">
        <f t="shared" si="74"/>
        <v>0</v>
      </c>
      <c r="S410">
        <f t="shared" si="75"/>
        <v>0</v>
      </c>
      <c r="T410">
        <f t="shared" si="76"/>
        <v>0</v>
      </c>
    </row>
    <row r="411" spans="1:20" ht="18" customHeight="1">
      <c r="A411" s="508" t="s">
        <v>515</v>
      </c>
      <c r="B411" s="624"/>
      <c r="C411" s="488"/>
      <c r="D411" s="489"/>
      <c r="E411" s="489"/>
      <c r="F411" s="489"/>
      <c r="G411" s="489"/>
      <c r="H411" s="490"/>
      <c r="I411" s="489"/>
      <c r="L411" s="524"/>
      <c r="N411">
        <f t="shared" si="70"/>
        <v>0</v>
      </c>
      <c r="O411">
        <f t="shared" si="71"/>
        <v>0</v>
      </c>
      <c r="P411">
        <f t="shared" si="72"/>
        <v>0</v>
      </c>
      <c r="Q411">
        <f t="shared" si="73"/>
        <v>0</v>
      </c>
      <c r="R411">
        <f t="shared" si="74"/>
        <v>0</v>
      </c>
      <c r="S411">
        <f t="shared" si="75"/>
        <v>0</v>
      </c>
      <c r="T411">
        <f t="shared" si="76"/>
        <v>0</v>
      </c>
    </row>
    <row r="412" spans="1:20" ht="18" customHeight="1">
      <c r="A412" s="508" t="s">
        <v>515</v>
      </c>
      <c r="B412" s="624"/>
      <c r="C412" s="488"/>
      <c r="D412" s="489"/>
      <c r="E412" s="489"/>
      <c r="F412" s="489"/>
      <c r="G412" s="489"/>
      <c r="H412" s="490"/>
      <c r="I412" s="489"/>
      <c r="L412" s="524"/>
      <c r="N412">
        <f t="shared" si="70"/>
        <v>0</v>
      </c>
      <c r="O412">
        <f t="shared" si="71"/>
        <v>0</v>
      </c>
      <c r="P412">
        <f t="shared" si="72"/>
        <v>0</v>
      </c>
      <c r="Q412">
        <f t="shared" si="73"/>
        <v>0</v>
      </c>
      <c r="R412">
        <f t="shared" si="74"/>
        <v>0</v>
      </c>
      <c r="S412">
        <f t="shared" si="75"/>
        <v>0</v>
      </c>
      <c r="T412">
        <f t="shared" si="76"/>
        <v>0</v>
      </c>
    </row>
    <row r="413" spans="1:20" ht="18" customHeight="1">
      <c r="A413" s="508" t="s">
        <v>515</v>
      </c>
      <c r="B413" s="624"/>
      <c r="C413" s="488"/>
      <c r="D413" s="489"/>
      <c r="E413" s="489"/>
      <c r="F413" s="489"/>
      <c r="G413" s="489"/>
      <c r="H413" s="490"/>
      <c r="I413" s="489"/>
      <c r="L413" s="524"/>
      <c r="N413">
        <f t="shared" si="70"/>
        <v>0</v>
      </c>
      <c r="O413">
        <f t="shared" si="71"/>
        <v>0</v>
      </c>
      <c r="P413">
        <f t="shared" si="72"/>
        <v>0</v>
      </c>
      <c r="Q413">
        <f t="shared" si="73"/>
        <v>0</v>
      </c>
      <c r="R413">
        <f t="shared" si="74"/>
        <v>0</v>
      </c>
      <c r="S413">
        <f t="shared" si="75"/>
        <v>0</v>
      </c>
      <c r="T413">
        <f t="shared" si="76"/>
        <v>0</v>
      </c>
    </row>
    <row r="414" spans="1:20" ht="18" customHeight="1">
      <c r="A414" s="508" t="s">
        <v>515</v>
      </c>
      <c r="B414" s="624"/>
      <c r="C414" s="488"/>
      <c r="D414" s="489"/>
      <c r="E414" s="489"/>
      <c r="F414" s="489"/>
      <c r="G414" s="489"/>
      <c r="H414" s="490"/>
      <c r="I414" s="489"/>
      <c r="L414" s="524"/>
      <c r="N414">
        <f t="shared" si="70"/>
        <v>0</v>
      </c>
      <c r="O414">
        <f t="shared" si="71"/>
        <v>0</v>
      </c>
      <c r="P414">
        <f t="shared" si="72"/>
        <v>0</v>
      </c>
      <c r="Q414">
        <f t="shared" si="73"/>
        <v>0</v>
      </c>
      <c r="R414">
        <f t="shared" si="74"/>
        <v>0</v>
      </c>
      <c r="S414">
        <f t="shared" si="75"/>
        <v>0</v>
      </c>
      <c r="T414">
        <f t="shared" si="76"/>
        <v>0</v>
      </c>
    </row>
    <row r="415" spans="1:20" ht="18" customHeight="1">
      <c r="A415" s="508" t="s">
        <v>515</v>
      </c>
      <c r="B415" s="624"/>
      <c r="C415" s="488"/>
      <c r="D415" s="489"/>
      <c r="E415" s="489"/>
      <c r="F415" s="489"/>
      <c r="G415" s="489"/>
      <c r="H415" s="490"/>
      <c r="I415" s="489"/>
      <c r="L415" s="524"/>
      <c r="N415">
        <f t="shared" si="70"/>
        <v>0</v>
      </c>
      <c r="O415">
        <f t="shared" si="71"/>
        <v>0</v>
      </c>
      <c r="P415">
        <f t="shared" si="72"/>
        <v>0</v>
      </c>
      <c r="Q415">
        <f t="shared" si="73"/>
        <v>0</v>
      </c>
      <c r="R415">
        <f t="shared" si="74"/>
        <v>0</v>
      </c>
      <c r="S415">
        <f t="shared" si="75"/>
        <v>0</v>
      </c>
      <c r="T415">
        <f t="shared" si="76"/>
        <v>0</v>
      </c>
    </row>
    <row r="416" spans="1:20" ht="18" customHeight="1">
      <c r="A416" s="508" t="s">
        <v>515</v>
      </c>
      <c r="B416" s="624"/>
      <c r="C416" s="488"/>
      <c r="D416" s="489"/>
      <c r="E416" s="489"/>
      <c r="F416" s="489"/>
      <c r="G416" s="489"/>
      <c r="H416" s="490"/>
      <c r="I416" s="489"/>
      <c r="L416" s="524"/>
      <c r="N416">
        <f t="shared" si="70"/>
        <v>0</v>
      </c>
      <c r="O416">
        <f t="shared" si="71"/>
        <v>0</v>
      </c>
      <c r="P416">
        <f t="shared" si="72"/>
        <v>0</v>
      </c>
      <c r="Q416">
        <f t="shared" si="73"/>
        <v>0</v>
      </c>
      <c r="R416">
        <f t="shared" si="74"/>
        <v>0</v>
      </c>
      <c r="S416">
        <f t="shared" si="75"/>
        <v>0</v>
      </c>
      <c r="T416">
        <f t="shared" si="76"/>
        <v>0</v>
      </c>
    </row>
    <row r="417" spans="1:20" ht="18" customHeight="1">
      <c r="A417" s="508" t="s">
        <v>515</v>
      </c>
      <c r="B417" s="624"/>
      <c r="C417" s="488"/>
      <c r="D417" s="489"/>
      <c r="E417" s="489"/>
      <c r="F417" s="489"/>
      <c r="G417" s="489"/>
      <c r="H417" s="490"/>
      <c r="I417" s="489"/>
      <c r="L417" s="524"/>
      <c r="N417">
        <f t="shared" si="70"/>
        <v>0</v>
      </c>
      <c r="O417">
        <f t="shared" si="71"/>
        <v>0</v>
      </c>
      <c r="P417">
        <f t="shared" si="72"/>
        <v>0</v>
      </c>
      <c r="Q417">
        <f t="shared" si="73"/>
        <v>0</v>
      </c>
      <c r="R417">
        <f t="shared" si="74"/>
        <v>0</v>
      </c>
      <c r="S417">
        <f t="shared" si="75"/>
        <v>0</v>
      </c>
      <c r="T417">
        <f t="shared" si="76"/>
        <v>0</v>
      </c>
    </row>
    <row r="418" spans="1:20" ht="18" customHeight="1">
      <c r="A418" s="508" t="s">
        <v>515</v>
      </c>
      <c r="B418" s="624"/>
      <c r="C418" s="488"/>
      <c r="D418" s="489"/>
      <c r="E418" s="489"/>
      <c r="F418" s="489"/>
      <c r="G418" s="489"/>
      <c r="H418" s="490"/>
      <c r="I418" s="489"/>
      <c r="L418" s="524"/>
      <c r="N418">
        <f t="shared" si="70"/>
        <v>0</v>
      </c>
      <c r="O418">
        <f t="shared" si="71"/>
        <v>0</v>
      </c>
      <c r="P418">
        <f t="shared" si="72"/>
        <v>0</v>
      </c>
      <c r="Q418">
        <f t="shared" si="73"/>
        <v>0</v>
      </c>
      <c r="R418">
        <f t="shared" si="74"/>
        <v>0</v>
      </c>
      <c r="S418">
        <f t="shared" si="75"/>
        <v>0</v>
      </c>
      <c r="T418">
        <f t="shared" si="76"/>
        <v>0</v>
      </c>
    </row>
    <row r="419" spans="1:20" ht="18" customHeight="1">
      <c r="A419" t="s">
        <v>515</v>
      </c>
      <c r="B419" s="624"/>
      <c r="C419" s="489"/>
      <c r="D419" s="489"/>
      <c r="E419" s="489"/>
      <c r="F419" s="489"/>
      <c r="G419" s="489"/>
      <c r="H419" s="490"/>
      <c r="I419" s="489"/>
    </row>
    <row r="420" spans="1:20" ht="18" customHeight="1">
      <c r="A420" t="s">
        <v>515</v>
      </c>
      <c r="B420" s="625"/>
      <c r="C420" s="489"/>
      <c r="D420" s="489"/>
      <c r="E420" s="489"/>
      <c r="F420" s="489"/>
      <c r="G420" s="489"/>
      <c r="H420" s="490"/>
      <c r="I420" s="489"/>
    </row>
    <row r="421" spans="1:20" ht="18" customHeight="1">
      <c r="A421" t="s">
        <v>515</v>
      </c>
      <c r="B421" s="614" t="s">
        <v>254</v>
      </c>
      <c r="C421" s="612"/>
      <c r="D421" s="612"/>
      <c r="E421" s="612"/>
      <c r="F421" s="612"/>
      <c r="G421" s="613"/>
      <c r="H421" s="510">
        <f>SUMIFS($H:$H,$A:$A,"19/5/26 -&gt; 25/5/26",$E:$E,"Income")</f>
        <v>0</v>
      </c>
      <c r="I421" s="252"/>
    </row>
    <row r="422" spans="1:20" ht="18" customHeight="1">
      <c r="A422" t="s">
        <v>515</v>
      </c>
      <c r="B422" s="611" t="s">
        <v>493</v>
      </c>
      <c r="C422" s="612"/>
      <c r="D422" s="612"/>
      <c r="E422" s="612"/>
      <c r="F422" s="612"/>
      <c r="G422" s="613"/>
      <c r="H422" s="509">
        <f>SUMIFS($H:$H,$A:$A,"19/5/26 -&gt; 25/5/26",$E:$E,"Joint Account")</f>
        <v>0</v>
      </c>
      <c r="I422" s="515"/>
    </row>
    <row r="423" spans="1:20" ht="18" customHeight="1">
      <c r="A423" t="s">
        <v>515</v>
      </c>
      <c r="B423" s="611" t="s">
        <v>494</v>
      </c>
      <c r="C423" s="612"/>
      <c r="D423" s="612"/>
      <c r="E423" s="612"/>
      <c r="F423" s="612"/>
      <c r="G423" s="613"/>
      <c r="H423" s="509">
        <f>SUMIFS($H:$H,$A:$A,"19/5/26 -&gt; 25/5/26",$E:$E,"Recurring Expense")</f>
        <v>0</v>
      </c>
      <c r="I423" s="515"/>
    </row>
    <row r="424" spans="1:20" ht="18" customHeight="1">
      <c r="A424" t="s">
        <v>515</v>
      </c>
      <c r="B424" s="611" t="s">
        <v>227</v>
      </c>
      <c r="C424" s="612"/>
      <c r="D424" s="612"/>
      <c r="E424" s="612"/>
      <c r="F424" s="612"/>
      <c r="G424" s="613"/>
      <c r="H424" s="509">
        <f>SUMIFS($H:$H,$A:$A,"19/5/26 -&gt; 25/5/26",$E:$E,"Investment")</f>
        <v>0</v>
      </c>
      <c r="I424" s="515"/>
    </row>
    <row r="425" spans="1:20" ht="18" customHeight="1">
      <c r="A425" t="s">
        <v>515</v>
      </c>
      <c r="B425" s="611" t="s">
        <v>250</v>
      </c>
      <c r="C425" s="612"/>
      <c r="D425" s="612"/>
      <c r="E425" s="612"/>
      <c r="F425" s="612"/>
      <c r="G425" s="613"/>
      <c r="H425" s="509">
        <f>SUMIFS($H:$H,$A:$A,"19/5/26 -&gt; 25/5/26",$E:$E,"Saving Allocation")</f>
        <v>0</v>
      </c>
      <c r="I425" s="515"/>
    </row>
    <row r="426" spans="1:20" ht="18" customHeight="1">
      <c r="A426" t="s">
        <v>515</v>
      </c>
      <c r="B426" s="611" t="s">
        <v>496</v>
      </c>
      <c r="C426" s="612"/>
      <c r="D426" s="612"/>
      <c r="E426" s="612"/>
      <c r="F426" s="612"/>
      <c r="G426" s="613"/>
      <c r="H426" s="509">
        <f>SUMIFS($H:$H,$A:$A,"19/5/26 -&gt; 25/5/26",$E:$E,"Personal Expense")</f>
        <v>0</v>
      </c>
      <c r="I426" s="515"/>
    </row>
    <row r="427" spans="1:20" ht="18" customHeight="1">
      <c r="A427" t="s">
        <v>515</v>
      </c>
      <c r="B427" s="626" t="s">
        <v>253</v>
      </c>
      <c r="C427" s="612"/>
      <c r="D427" s="612"/>
      <c r="E427" s="612"/>
      <c r="F427" s="612"/>
      <c r="G427" s="613"/>
      <c r="H427" s="513">
        <f>SUMIFS($H:$H,$A:$A,"19/5/26 -&gt; 25/5/26",$E:$E,"Joint Account")+SUMIFS($H:$H,$A:$A,"19/5/26 -&gt; 25/5/26",$E:$E,"Recurring Expense")+SUMIFS($H:$H,$A:$A,"19/5/26 -&gt; 25/5/26",$E:$E,"Investment")+SUMIFS($H:$H,$A:$A,"19/5/26 -&gt; 25/5/26",$E:$E,"Saving Allocation")+SUMIFS($H:$H,$A:$A,"19/5/26 -&gt; 25/5/26",$E:$E,"Personal Expense")+SUMIFS($H:$H,$A:$A,"19/5/26 -&gt; 25/5/26",$E:$E,"Debt Repayment")</f>
        <v>0</v>
      </c>
      <c r="I427" s="514"/>
    </row>
    <row r="428" spans="1:20" ht="18" customHeight="1">
      <c r="A428" t="s">
        <v>515</v>
      </c>
      <c r="B428" s="617" t="s">
        <v>497</v>
      </c>
      <c r="C428" s="618"/>
      <c r="D428" s="618"/>
      <c r="E428" s="618"/>
      <c r="F428" s="618"/>
      <c r="G428" s="619"/>
      <c r="H428" s="586">
        <f>SUMIFS($H:$H,$A:$A,"19/5/26 -&gt; 25/5/26",$E:$E,"Income")-SUMIFS($H:$H,$A:$A,"19/5/26 -&gt; 25/5/26",$E:$E,"Joint Account")-SUMIFS($H:$H,$A:$A,"19/5/26 -&gt; 25/5/26",$E:$E,"Recurring Expense")-SUMIFS($H:$H,$A:$A,"19/5/26 -&gt; 25/5/26",$E:$E,"Investment")-SUMIFS($H:$H,$A:$A,"19/5/26 -&gt; 25/5/26",$E:$E,"Saving Allocation")-SUMIFS($H:$H,$A:$A,"19/5/26 -&gt; 25/5/26",$E:$E,"Personal Expense")-SUMIFS($H:$H,$A:$A,"19/5/26 -&gt; 25/5/26",$E:$E,"Debt Repayment")</f>
        <v>0</v>
      </c>
      <c r="I428" s="514"/>
    </row>
    <row r="429" spans="1:20" ht="18" customHeight="1">
      <c r="B429" s="626" t="s">
        <v>554</v>
      </c>
      <c r="C429" s="612"/>
      <c r="D429" s="612"/>
      <c r="E429" s="612"/>
      <c r="F429" s="612"/>
      <c r="G429" s="613"/>
      <c r="H429" s="513">
        <f>SUMIFS($H:$H,$A:$A,"19/5/26 -&gt; 25/5/26",$E:$E,"Income")-SUMIFS($H:$H,$A:$A,"19/5/26 -&gt; 25/5/26",$E:$E,"Joint Account")-SUMIFS($H:$H,$A:$A,"19/5/26 -&gt; 25/5/26",$E:$E,"Recurring Expense")-SUMIFS($H:$H,$A:$A,"19/5/26 -&gt; 25/5/26",$E:$E,"Investment")-SUMIFS($H:$H,$A:$A,"19/5/26 -&gt; 25/5/26",$E:$E,"Personal Expense")-SUMIFS($H:$H,$A:$A,"19/5/26 -&gt; 25/5/26",$E:$E,"Debt Repayment")</f>
        <v>0</v>
      </c>
      <c r="I429" s="514"/>
    </row>
    <row r="430" spans="1:20" ht="18" customHeight="1">
      <c r="B430" s="499"/>
      <c r="C430" s="499"/>
      <c r="D430" s="499"/>
      <c r="E430" s="499"/>
      <c r="F430" s="499"/>
      <c r="G430" s="499"/>
      <c r="H430" s="499"/>
      <c r="I430" s="499"/>
    </row>
    <row r="431" spans="1:20" ht="18" customHeight="1">
      <c r="A431" s="508" t="s">
        <v>514</v>
      </c>
      <c r="B431" s="623" t="s">
        <v>514</v>
      </c>
      <c r="C431" s="485"/>
      <c r="D431" s="486"/>
      <c r="E431" s="486"/>
      <c r="F431" s="486"/>
      <c r="G431" s="486"/>
      <c r="H431" s="487"/>
      <c r="I431" s="486"/>
      <c r="N431">
        <f t="shared" ref="N431:N450" si="77">IF(OR(E431="Personal Expense",E431="Recurring Expense"),H431,0)</f>
        <v>0</v>
      </c>
      <c r="O431">
        <f t="shared" ref="O431:O450" si="78">IF(E431="Internal Transfer",H431,0)</f>
        <v>0</v>
      </c>
      <c r="P431">
        <f t="shared" ref="P431:P450" si="79">IF(E431="Saving Allocation",H431,0)</f>
        <v>0</v>
      </c>
      <c r="Q431">
        <f t="shared" ref="Q431:Q450" si="80">IF(E431="Investment",H431,0)</f>
        <v>0</v>
      </c>
      <c r="R431">
        <f t="shared" ref="R431:R450" si="81">IF(E431="Debt Repayment",H431,0)</f>
        <v>0</v>
      </c>
      <c r="S431">
        <f t="shared" ref="S431:S450" si="82">IF(E431="Joint Account",H431,0)</f>
        <v>0</v>
      </c>
      <c r="T431">
        <f t="shared" ref="T431:T450" si="83">IF(E431="Income",H431,0)</f>
        <v>0</v>
      </c>
    </row>
    <row r="432" spans="1:20" ht="18" customHeight="1">
      <c r="A432" s="508" t="s">
        <v>514</v>
      </c>
      <c r="B432" s="624"/>
      <c r="C432" s="488"/>
      <c r="D432" s="489"/>
      <c r="E432" s="489"/>
      <c r="F432" s="489"/>
      <c r="G432" s="489"/>
      <c r="H432" s="490"/>
      <c r="I432" s="489"/>
      <c r="N432">
        <f t="shared" si="77"/>
        <v>0</v>
      </c>
      <c r="O432">
        <f t="shared" si="78"/>
        <v>0</v>
      </c>
      <c r="P432">
        <f t="shared" si="79"/>
        <v>0</v>
      </c>
      <c r="Q432">
        <f t="shared" si="80"/>
        <v>0</v>
      </c>
      <c r="R432">
        <f t="shared" si="81"/>
        <v>0</v>
      </c>
      <c r="S432">
        <f t="shared" si="82"/>
        <v>0</v>
      </c>
      <c r="T432">
        <f t="shared" si="83"/>
        <v>0</v>
      </c>
    </row>
    <row r="433" spans="1:20" ht="18" customHeight="1">
      <c r="A433" s="508" t="s">
        <v>514</v>
      </c>
      <c r="B433" s="624"/>
      <c r="C433" s="488"/>
      <c r="D433" s="489"/>
      <c r="E433" s="489"/>
      <c r="F433" s="489"/>
      <c r="G433" s="489"/>
      <c r="H433" s="490"/>
      <c r="I433" s="489"/>
      <c r="N433">
        <f t="shared" si="77"/>
        <v>0</v>
      </c>
      <c r="O433">
        <f t="shared" si="78"/>
        <v>0</v>
      </c>
      <c r="P433">
        <f t="shared" si="79"/>
        <v>0</v>
      </c>
      <c r="Q433">
        <f t="shared" si="80"/>
        <v>0</v>
      </c>
      <c r="R433">
        <f t="shared" si="81"/>
        <v>0</v>
      </c>
      <c r="S433">
        <f t="shared" si="82"/>
        <v>0</v>
      </c>
      <c r="T433">
        <f t="shared" si="83"/>
        <v>0</v>
      </c>
    </row>
    <row r="434" spans="1:20" ht="18" customHeight="1">
      <c r="A434" s="508" t="s">
        <v>514</v>
      </c>
      <c r="B434" s="624"/>
      <c r="C434" s="488"/>
      <c r="D434" s="489"/>
      <c r="E434" s="489"/>
      <c r="F434" s="489"/>
      <c r="G434" s="489"/>
      <c r="H434" s="490"/>
      <c r="I434" s="489"/>
      <c r="N434">
        <f t="shared" si="77"/>
        <v>0</v>
      </c>
      <c r="O434">
        <f t="shared" si="78"/>
        <v>0</v>
      </c>
      <c r="P434">
        <f t="shared" si="79"/>
        <v>0</v>
      </c>
      <c r="Q434">
        <f t="shared" si="80"/>
        <v>0</v>
      </c>
      <c r="R434">
        <f t="shared" si="81"/>
        <v>0</v>
      </c>
      <c r="S434">
        <f t="shared" si="82"/>
        <v>0</v>
      </c>
      <c r="T434">
        <f t="shared" si="83"/>
        <v>0</v>
      </c>
    </row>
    <row r="435" spans="1:20" ht="18" customHeight="1">
      <c r="A435" s="508" t="s">
        <v>514</v>
      </c>
      <c r="B435" s="624"/>
      <c r="C435" s="488"/>
      <c r="D435" s="489"/>
      <c r="E435" s="489"/>
      <c r="F435" s="489"/>
      <c r="G435" s="489"/>
      <c r="H435" s="490"/>
      <c r="I435" s="489"/>
      <c r="N435">
        <f t="shared" si="77"/>
        <v>0</v>
      </c>
      <c r="O435">
        <f t="shared" si="78"/>
        <v>0</v>
      </c>
      <c r="P435">
        <f t="shared" si="79"/>
        <v>0</v>
      </c>
      <c r="Q435">
        <f t="shared" si="80"/>
        <v>0</v>
      </c>
      <c r="R435">
        <f t="shared" si="81"/>
        <v>0</v>
      </c>
      <c r="S435">
        <f t="shared" si="82"/>
        <v>0</v>
      </c>
      <c r="T435">
        <f t="shared" si="83"/>
        <v>0</v>
      </c>
    </row>
    <row r="436" spans="1:20" ht="18" customHeight="1">
      <c r="A436" s="508" t="s">
        <v>514</v>
      </c>
      <c r="B436" s="624"/>
      <c r="C436" s="488"/>
      <c r="D436" s="489"/>
      <c r="E436" s="489"/>
      <c r="F436" s="489"/>
      <c r="G436" s="489"/>
      <c r="H436" s="490"/>
      <c r="I436" s="489"/>
      <c r="N436">
        <f t="shared" si="77"/>
        <v>0</v>
      </c>
      <c r="O436">
        <f t="shared" si="78"/>
        <v>0</v>
      </c>
      <c r="P436">
        <f t="shared" si="79"/>
        <v>0</v>
      </c>
      <c r="Q436">
        <f t="shared" si="80"/>
        <v>0</v>
      </c>
      <c r="R436">
        <f t="shared" si="81"/>
        <v>0</v>
      </c>
      <c r="S436">
        <f t="shared" si="82"/>
        <v>0</v>
      </c>
      <c r="T436">
        <f t="shared" si="83"/>
        <v>0</v>
      </c>
    </row>
    <row r="437" spans="1:20" ht="18" customHeight="1">
      <c r="A437" s="508" t="s">
        <v>514</v>
      </c>
      <c r="B437" s="624"/>
      <c r="C437" s="488"/>
      <c r="D437" s="489"/>
      <c r="E437" s="489"/>
      <c r="F437" s="489"/>
      <c r="G437" s="489"/>
      <c r="H437" s="490"/>
      <c r="I437" s="489"/>
      <c r="N437">
        <f t="shared" si="77"/>
        <v>0</v>
      </c>
      <c r="O437">
        <f t="shared" si="78"/>
        <v>0</v>
      </c>
      <c r="P437">
        <f t="shared" si="79"/>
        <v>0</v>
      </c>
      <c r="Q437">
        <f t="shared" si="80"/>
        <v>0</v>
      </c>
      <c r="R437">
        <f t="shared" si="81"/>
        <v>0</v>
      </c>
      <c r="S437">
        <f t="shared" si="82"/>
        <v>0</v>
      </c>
      <c r="T437">
        <f t="shared" si="83"/>
        <v>0</v>
      </c>
    </row>
    <row r="438" spans="1:20" ht="18" customHeight="1">
      <c r="A438" s="508" t="s">
        <v>514</v>
      </c>
      <c r="B438" s="624"/>
      <c r="C438" s="488"/>
      <c r="D438" s="489"/>
      <c r="E438" s="489"/>
      <c r="F438" s="489"/>
      <c r="G438" s="489"/>
      <c r="H438" s="490"/>
      <c r="I438" s="489"/>
      <c r="N438">
        <f t="shared" si="77"/>
        <v>0</v>
      </c>
      <c r="O438">
        <f t="shared" si="78"/>
        <v>0</v>
      </c>
      <c r="P438">
        <f t="shared" si="79"/>
        <v>0</v>
      </c>
      <c r="Q438">
        <f t="shared" si="80"/>
        <v>0</v>
      </c>
      <c r="R438">
        <f t="shared" si="81"/>
        <v>0</v>
      </c>
      <c r="S438">
        <f t="shared" si="82"/>
        <v>0</v>
      </c>
      <c r="T438">
        <f t="shared" si="83"/>
        <v>0</v>
      </c>
    </row>
    <row r="439" spans="1:20" ht="18" customHeight="1">
      <c r="A439" s="508" t="s">
        <v>514</v>
      </c>
      <c r="B439" s="624"/>
      <c r="C439" s="488"/>
      <c r="D439" s="489"/>
      <c r="E439" s="489"/>
      <c r="F439" s="489"/>
      <c r="G439" s="489"/>
      <c r="H439" s="490"/>
      <c r="I439" s="489"/>
      <c r="N439">
        <f t="shared" si="77"/>
        <v>0</v>
      </c>
      <c r="O439">
        <f t="shared" si="78"/>
        <v>0</v>
      </c>
      <c r="P439">
        <f t="shared" si="79"/>
        <v>0</v>
      </c>
      <c r="Q439">
        <f t="shared" si="80"/>
        <v>0</v>
      </c>
      <c r="R439">
        <f t="shared" si="81"/>
        <v>0</v>
      </c>
      <c r="S439">
        <f t="shared" si="82"/>
        <v>0</v>
      </c>
      <c r="T439">
        <f t="shared" si="83"/>
        <v>0</v>
      </c>
    </row>
    <row r="440" spans="1:20" ht="18" customHeight="1">
      <c r="A440" s="508" t="s">
        <v>514</v>
      </c>
      <c r="B440" s="624"/>
      <c r="C440" s="488"/>
      <c r="D440" s="489"/>
      <c r="E440" s="489"/>
      <c r="F440" s="489"/>
      <c r="G440" s="489"/>
      <c r="H440" s="490"/>
      <c r="I440" s="489"/>
      <c r="N440">
        <f t="shared" si="77"/>
        <v>0</v>
      </c>
      <c r="O440">
        <f t="shared" si="78"/>
        <v>0</v>
      </c>
      <c r="P440">
        <f t="shared" si="79"/>
        <v>0</v>
      </c>
      <c r="Q440">
        <f t="shared" si="80"/>
        <v>0</v>
      </c>
      <c r="R440">
        <f t="shared" si="81"/>
        <v>0</v>
      </c>
      <c r="S440">
        <f t="shared" si="82"/>
        <v>0</v>
      </c>
      <c r="T440">
        <f t="shared" si="83"/>
        <v>0</v>
      </c>
    </row>
    <row r="441" spans="1:20" ht="18" customHeight="1">
      <c r="A441" s="508" t="s">
        <v>514</v>
      </c>
      <c r="B441" s="624"/>
      <c r="C441" s="488"/>
      <c r="D441" s="489"/>
      <c r="E441" s="489"/>
      <c r="F441" s="489"/>
      <c r="G441" s="489"/>
      <c r="H441" s="490"/>
      <c r="I441" s="489"/>
      <c r="N441">
        <f t="shared" si="77"/>
        <v>0</v>
      </c>
      <c r="O441">
        <f t="shared" si="78"/>
        <v>0</v>
      </c>
      <c r="P441">
        <f t="shared" si="79"/>
        <v>0</v>
      </c>
      <c r="Q441">
        <f t="shared" si="80"/>
        <v>0</v>
      </c>
      <c r="R441">
        <f t="shared" si="81"/>
        <v>0</v>
      </c>
      <c r="S441">
        <f t="shared" si="82"/>
        <v>0</v>
      </c>
      <c r="T441">
        <f t="shared" si="83"/>
        <v>0</v>
      </c>
    </row>
    <row r="442" spans="1:20" ht="18" customHeight="1">
      <c r="A442" s="508" t="s">
        <v>514</v>
      </c>
      <c r="B442" s="624"/>
      <c r="C442" s="488"/>
      <c r="D442" s="489"/>
      <c r="E442" s="489"/>
      <c r="F442" s="489"/>
      <c r="G442" s="489"/>
      <c r="H442" s="490"/>
      <c r="I442" s="489"/>
      <c r="N442">
        <f t="shared" si="77"/>
        <v>0</v>
      </c>
      <c r="O442">
        <f t="shared" si="78"/>
        <v>0</v>
      </c>
      <c r="P442">
        <f t="shared" si="79"/>
        <v>0</v>
      </c>
      <c r="Q442">
        <f t="shared" si="80"/>
        <v>0</v>
      </c>
      <c r="R442">
        <f t="shared" si="81"/>
        <v>0</v>
      </c>
      <c r="S442">
        <f t="shared" si="82"/>
        <v>0</v>
      </c>
      <c r="T442">
        <f t="shared" si="83"/>
        <v>0</v>
      </c>
    </row>
    <row r="443" spans="1:20" ht="18" customHeight="1">
      <c r="A443" s="508" t="s">
        <v>514</v>
      </c>
      <c r="B443" s="624"/>
      <c r="C443" s="488"/>
      <c r="D443" s="489"/>
      <c r="E443" s="489"/>
      <c r="F443" s="489"/>
      <c r="G443" s="489"/>
      <c r="H443" s="490"/>
      <c r="I443" s="489"/>
      <c r="N443">
        <f t="shared" si="77"/>
        <v>0</v>
      </c>
      <c r="O443">
        <f t="shared" si="78"/>
        <v>0</v>
      </c>
      <c r="P443">
        <f t="shared" si="79"/>
        <v>0</v>
      </c>
      <c r="Q443">
        <f t="shared" si="80"/>
        <v>0</v>
      </c>
      <c r="R443">
        <f t="shared" si="81"/>
        <v>0</v>
      </c>
      <c r="S443">
        <f t="shared" si="82"/>
        <v>0</v>
      </c>
      <c r="T443">
        <f t="shared" si="83"/>
        <v>0</v>
      </c>
    </row>
    <row r="444" spans="1:20" ht="18" customHeight="1">
      <c r="A444" s="508" t="s">
        <v>514</v>
      </c>
      <c r="B444" s="624"/>
      <c r="C444" s="488"/>
      <c r="D444" s="489"/>
      <c r="E444" s="489"/>
      <c r="F444" s="489"/>
      <c r="G444" s="489"/>
      <c r="H444" s="490"/>
      <c r="I444" s="489"/>
      <c r="N444">
        <f t="shared" si="77"/>
        <v>0</v>
      </c>
      <c r="O444">
        <f t="shared" si="78"/>
        <v>0</v>
      </c>
      <c r="P444">
        <f t="shared" si="79"/>
        <v>0</v>
      </c>
      <c r="Q444">
        <f t="shared" si="80"/>
        <v>0</v>
      </c>
      <c r="R444">
        <f t="shared" si="81"/>
        <v>0</v>
      </c>
      <c r="S444">
        <f t="shared" si="82"/>
        <v>0</v>
      </c>
      <c r="T444">
        <f t="shared" si="83"/>
        <v>0</v>
      </c>
    </row>
    <row r="445" spans="1:20" ht="18" customHeight="1">
      <c r="A445" s="508" t="s">
        <v>514</v>
      </c>
      <c r="B445" s="624"/>
      <c r="C445" s="488"/>
      <c r="D445" s="489"/>
      <c r="E445" s="489"/>
      <c r="F445" s="489"/>
      <c r="G445" s="489"/>
      <c r="H445" s="490"/>
      <c r="I445" s="489"/>
      <c r="N445">
        <f t="shared" si="77"/>
        <v>0</v>
      </c>
      <c r="O445">
        <f t="shared" si="78"/>
        <v>0</v>
      </c>
      <c r="P445">
        <f t="shared" si="79"/>
        <v>0</v>
      </c>
      <c r="Q445">
        <f t="shared" si="80"/>
        <v>0</v>
      </c>
      <c r="R445">
        <f t="shared" si="81"/>
        <v>0</v>
      </c>
      <c r="S445">
        <f t="shared" si="82"/>
        <v>0</v>
      </c>
      <c r="T445">
        <f t="shared" si="83"/>
        <v>0</v>
      </c>
    </row>
    <row r="446" spans="1:20" ht="18" customHeight="1">
      <c r="A446" s="508" t="s">
        <v>514</v>
      </c>
      <c r="B446" s="624"/>
      <c r="C446" s="488"/>
      <c r="D446" s="489"/>
      <c r="E446" s="489"/>
      <c r="F446" s="489"/>
      <c r="G446" s="489"/>
      <c r="H446" s="490"/>
      <c r="I446" s="489"/>
      <c r="N446">
        <f t="shared" si="77"/>
        <v>0</v>
      </c>
      <c r="O446">
        <f t="shared" si="78"/>
        <v>0</v>
      </c>
      <c r="P446">
        <f t="shared" si="79"/>
        <v>0</v>
      </c>
      <c r="Q446">
        <f t="shared" si="80"/>
        <v>0</v>
      </c>
      <c r="R446">
        <f t="shared" si="81"/>
        <v>0</v>
      </c>
      <c r="S446">
        <f t="shared" si="82"/>
        <v>0</v>
      </c>
      <c r="T446">
        <f t="shared" si="83"/>
        <v>0</v>
      </c>
    </row>
    <row r="447" spans="1:20" ht="18" customHeight="1">
      <c r="A447" s="508" t="s">
        <v>514</v>
      </c>
      <c r="B447" s="624"/>
      <c r="C447" s="488"/>
      <c r="D447" s="489"/>
      <c r="E447" s="489"/>
      <c r="F447" s="489"/>
      <c r="G447" s="489"/>
      <c r="H447" s="490"/>
      <c r="I447" s="489"/>
      <c r="N447">
        <f t="shared" si="77"/>
        <v>0</v>
      </c>
      <c r="O447">
        <f t="shared" si="78"/>
        <v>0</v>
      </c>
      <c r="P447">
        <f t="shared" si="79"/>
        <v>0</v>
      </c>
      <c r="Q447">
        <f t="shared" si="80"/>
        <v>0</v>
      </c>
      <c r="R447">
        <f t="shared" si="81"/>
        <v>0</v>
      </c>
      <c r="S447">
        <f t="shared" si="82"/>
        <v>0</v>
      </c>
      <c r="T447">
        <f t="shared" si="83"/>
        <v>0</v>
      </c>
    </row>
    <row r="448" spans="1:20" ht="18" customHeight="1">
      <c r="A448" s="508" t="s">
        <v>514</v>
      </c>
      <c r="B448" s="624"/>
      <c r="C448" s="488"/>
      <c r="D448" s="489"/>
      <c r="E448" s="489"/>
      <c r="F448" s="489"/>
      <c r="G448" s="489"/>
      <c r="H448" s="490"/>
      <c r="I448" s="489"/>
      <c r="N448">
        <f t="shared" si="77"/>
        <v>0</v>
      </c>
      <c r="O448">
        <f t="shared" si="78"/>
        <v>0</v>
      </c>
      <c r="P448">
        <f t="shared" si="79"/>
        <v>0</v>
      </c>
      <c r="Q448">
        <f t="shared" si="80"/>
        <v>0</v>
      </c>
      <c r="R448">
        <f t="shared" si="81"/>
        <v>0</v>
      </c>
      <c r="S448">
        <f t="shared" si="82"/>
        <v>0</v>
      </c>
      <c r="T448">
        <f t="shared" si="83"/>
        <v>0</v>
      </c>
    </row>
    <row r="449" spans="1:20" ht="18" customHeight="1">
      <c r="A449" s="508" t="s">
        <v>514</v>
      </c>
      <c r="B449" s="624"/>
      <c r="C449" s="488"/>
      <c r="D449" s="489"/>
      <c r="E449" s="489"/>
      <c r="F449" s="489"/>
      <c r="G449" s="489"/>
      <c r="H449" s="490"/>
      <c r="I449" s="489"/>
      <c r="N449">
        <f t="shared" si="77"/>
        <v>0</v>
      </c>
      <c r="O449">
        <f t="shared" si="78"/>
        <v>0</v>
      </c>
      <c r="P449">
        <f t="shared" si="79"/>
        <v>0</v>
      </c>
      <c r="Q449">
        <f t="shared" si="80"/>
        <v>0</v>
      </c>
      <c r="R449">
        <f t="shared" si="81"/>
        <v>0</v>
      </c>
      <c r="S449">
        <f t="shared" si="82"/>
        <v>0</v>
      </c>
      <c r="T449">
        <f t="shared" si="83"/>
        <v>0</v>
      </c>
    </row>
    <row r="450" spans="1:20" ht="18" customHeight="1">
      <c r="A450" s="508" t="s">
        <v>514</v>
      </c>
      <c r="B450" s="624"/>
      <c r="C450" s="488"/>
      <c r="D450" s="489"/>
      <c r="E450" s="489"/>
      <c r="F450" s="489"/>
      <c r="G450" s="489"/>
      <c r="H450" s="490"/>
      <c r="I450" s="489"/>
      <c r="N450">
        <f t="shared" si="77"/>
        <v>0</v>
      </c>
      <c r="O450">
        <f t="shared" si="78"/>
        <v>0</v>
      </c>
      <c r="P450">
        <f t="shared" si="79"/>
        <v>0</v>
      </c>
      <c r="Q450">
        <f t="shared" si="80"/>
        <v>0</v>
      </c>
      <c r="R450">
        <f t="shared" si="81"/>
        <v>0</v>
      </c>
      <c r="S450">
        <f t="shared" si="82"/>
        <v>0</v>
      </c>
      <c r="T450">
        <f t="shared" si="83"/>
        <v>0</v>
      </c>
    </row>
    <row r="451" spans="1:20" ht="18" customHeight="1">
      <c r="A451" t="s">
        <v>514</v>
      </c>
      <c r="B451" s="624"/>
      <c r="C451" s="489"/>
      <c r="D451" s="489"/>
      <c r="E451" s="489"/>
      <c r="F451" s="489"/>
      <c r="G451" s="489"/>
      <c r="H451" s="490"/>
      <c r="I451" s="489"/>
    </row>
    <row r="452" spans="1:20" ht="18" customHeight="1">
      <c r="A452" t="s">
        <v>514</v>
      </c>
      <c r="B452" s="625"/>
      <c r="C452" s="489"/>
      <c r="D452" s="489"/>
      <c r="E452" s="489"/>
      <c r="F452" s="489"/>
      <c r="G452" s="489"/>
      <c r="H452" s="490"/>
      <c r="I452" s="489"/>
    </row>
    <row r="453" spans="1:20" ht="18" customHeight="1">
      <c r="A453" t="s">
        <v>514</v>
      </c>
      <c r="B453" s="614" t="s">
        <v>254</v>
      </c>
      <c r="C453" s="612"/>
      <c r="D453" s="612"/>
      <c r="E453" s="612"/>
      <c r="F453" s="612"/>
      <c r="G453" s="613"/>
      <c r="H453" s="510">
        <f>SUMIFS($H:$H,$A:$A,"26/5/26 -&gt; 1/6/26",$E:$E,"Income")</f>
        <v>0</v>
      </c>
      <c r="I453" s="252"/>
    </row>
    <row r="454" spans="1:20" ht="18" customHeight="1">
      <c r="A454" t="s">
        <v>514</v>
      </c>
      <c r="B454" s="611" t="s">
        <v>493</v>
      </c>
      <c r="C454" s="612"/>
      <c r="D454" s="612"/>
      <c r="E454" s="612"/>
      <c r="F454" s="612"/>
      <c r="G454" s="613"/>
      <c r="H454" s="509">
        <f>SUMIFS($H:$H,$A:$A,"26/5/26 -&gt; 1/6/26",$E:$E,"Joint Account")</f>
        <v>0</v>
      </c>
      <c r="I454" s="515"/>
    </row>
    <row r="455" spans="1:20" ht="18" customHeight="1">
      <c r="A455" t="s">
        <v>514</v>
      </c>
      <c r="B455" s="611" t="s">
        <v>494</v>
      </c>
      <c r="C455" s="612"/>
      <c r="D455" s="612"/>
      <c r="E455" s="612"/>
      <c r="F455" s="612"/>
      <c r="G455" s="613"/>
      <c r="H455" s="509">
        <f>SUMIFS($H:$H,$A:$A,"26/5/26 -&gt; 1/6/26",$E:$E,"Recurring Expense")</f>
        <v>0</v>
      </c>
      <c r="I455" s="515"/>
    </row>
    <row r="456" spans="1:20" ht="18" customHeight="1">
      <c r="A456" t="s">
        <v>514</v>
      </c>
      <c r="B456" s="611" t="s">
        <v>227</v>
      </c>
      <c r="C456" s="612"/>
      <c r="D456" s="612"/>
      <c r="E456" s="612"/>
      <c r="F456" s="612"/>
      <c r="G456" s="613"/>
      <c r="H456" s="509">
        <f>SUMIFS($H:$H,$A:$A,"26/5/26 -&gt; 1/6/26",$E:$E,"Investment")</f>
        <v>0</v>
      </c>
      <c r="I456" s="515"/>
    </row>
    <row r="457" spans="1:20" ht="18" customHeight="1">
      <c r="A457" t="s">
        <v>514</v>
      </c>
      <c r="B457" s="611" t="s">
        <v>250</v>
      </c>
      <c r="C457" s="612"/>
      <c r="D457" s="612"/>
      <c r="E457" s="612"/>
      <c r="F457" s="612"/>
      <c r="G457" s="613"/>
      <c r="H457" s="509">
        <f>SUMIFS($H:$H,$A:$A,"26/5/26 -&gt; 1/6/26",$E:$E,"Saving Allocation")</f>
        <v>0</v>
      </c>
      <c r="I457" s="515"/>
    </row>
    <row r="458" spans="1:20" ht="18" customHeight="1">
      <c r="A458" t="s">
        <v>514</v>
      </c>
      <c r="B458" s="611" t="s">
        <v>496</v>
      </c>
      <c r="C458" s="612"/>
      <c r="D458" s="612"/>
      <c r="E458" s="612"/>
      <c r="F458" s="612"/>
      <c r="G458" s="613"/>
      <c r="H458" s="509">
        <f>SUMIFS($H:$H,$A:$A,"26/5/26 -&gt; 1/6/26",$E:$E,"Personal Expense")</f>
        <v>0</v>
      </c>
      <c r="I458" s="515"/>
    </row>
    <row r="459" spans="1:20" ht="18" customHeight="1">
      <c r="A459" t="s">
        <v>514</v>
      </c>
      <c r="B459" s="626" t="s">
        <v>253</v>
      </c>
      <c r="C459" s="612"/>
      <c r="D459" s="612"/>
      <c r="E459" s="612"/>
      <c r="F459" s="612"/>
      <c r="G459" s="613"/>
      <c r="H459" s="513">
        <f>SUMIFS($H:$H,$A:$A,"26/5/26 -&gt; 1/6/26",$E:$E,"Joint Account")+SUMIFS($H:$H,$A:$A,"26/5/26 -&gt; 1/6/26",$E:$E,"Recurring Expense")+SUMIFS($H:$H,$A:$A,"26/5/26 -&gt; 1/6/26",$E:$E,"Investment")+SUMIFS($H:$H,$A:$A,"26/5/26 -&gt; 1/6/26",$E:$E,"Saving Allocation")+SUMIFS($H:$H,$A:$A,"26/5/26 -&gt; 1/6/26",$E:$E,"Personal Expense")+SUMIFS($H:$H,$A:$A,"26/5/26 -&gt; 1/6/26",$E:$E,"Debt Repayment")</f>
        <v>0</v>
      </c>
      <c r="I459" s="514"/>
    </row>
    <row r="460" spans="1:20" ht="18" customHeight="1">
      <c r="A460" t="s">
        <v>514</v>
      </c>
      <c r="B460" s="617" t="s">
        <v>497</v>
      </c>
      <c r="C460" s="618"/>
      <c r="D460" s="618"/>
      <c r="E460" s="618"/>
      <c r="F460" s="618"/>
      <c r="G460" s="619"/>
      <c r="H460" s="586">
        <f>SUMIFS($H:$H,$A:$A,"26/5/26 -&gt; 1/6/26",$E:$E,"Income")-SUMIFS($H:$H,$A:$A,"26/5/26 -&gt; 1/6/26",$E:$E,"Joint Account")-SUMIFS($H:$H,$A:$A,"26/5/26 -&gt; 1/6/26",$E:$E,"Recurring Expense")-SUMIFS($H:$H,$A:$A,"26/5/26 -&gt; 1/6/26",$E:$E,"Investment")-SUMIFS($H:$H,$A:$A,"26/5/26 -&gt; 1/6/26",$E:$E,"Saving Allocation")-SUMIFS($H:$H,$A:$A,"26/5/26 -&gt; 1/6/26",$E:$E,"Personal Expense")-SUMIFS($H:$H,$A:$A,"26/5/26 -&gt; 1/6/26",$E:$E,"Debt Repayment")</f>
        <v>0</v>
      </c>
      <c r="I460" s="514"/>
    </row>
    <row r="461" spans="1:20" ht="18" customHeight="1">
      <c r="B461" s="626" t="s">
        <v>554</v>
      </c>
      <c r="C461" s="612"/>
      <c r="D461" s="612"/>
      <c r="E461" s="612"/>
      <c r="F461" s="612"/>
      <c r="G461" s="613"/>
      <c r="H461" s="513">
        <f>SUMIFS($H:$H,$A:$A,"26/5/26 -&gt; 1/6/26",$E:$E,"Income")-SUMIFS($H:$H,$A:$A,"26/5/26 -&gt; 1/6/26",$E:$E,"Joint Account")-SUMIFS($H:$H,$A:$A,"26/5/26 -&gt; 1/6/26",$E:$E,"Recurring Expense")-SUMIFS($H:$H,$A:$A,"26/5/26 -&gt; 1/6/26",$E:$E,"Investment")-SUMIFS($H:$H,$A:$A,"26/5/26 -&gt; 1/6/26",$E:$E,"Personal Expense")-SUMIFS($H:$H,$A:$A,"26/5/26 -&gt; 1/6/26",$E:$E,"Debt Repayment")</f>
        <v>0</v>
      </c>
      <c r="I461" s="514"/>
    </row>
    <row r="462" spans="1:20" ht="18" customHeight="1">
      <c r="B462" s="499"/>
      <c r="C462" s="499"/>
      <c r="D462" s="499"/>
      <c r="E462" s="499"/>
      <c r="F462" s="499"/>
      <c r="G462" s="499"/>
      <c r="H462" s="499"/>
      <c r="I462" s="499"/>
    </row>
    <row r="463" spans="1:20" ht="18" customHeight="1">
      <c r="A463" s="508" t="s">
        <v>513</v>
      </c>
      <c r="B463" s="623" t="s">
        <v>513</v>
      </c>
      <c r="C463" s="485"/>
      <c r="D463" s="486"/>
      <c r="E463" s="486"/>
      <c r="F463" s="486"/>
      <c r="G463" s="486"/>
      <c r="H463" s="487"/>
      <c r="I463" s="486"/>
      <c r="N463">
        <f t="shared" ref="N463:N482" si="84">IF(OR(E463="Personal Expense",E463="Recurring Expense"),H463,0)</f>
        <v>0</v>
      </c>
      <c r="O463">
        <f t="shared" ref="O463:O482" si="85">IF(E463="Internal Transfer",H463,0)</f>
        <v>0</v>
      </c>
      <c r="P463">
        <f t="shared" ref="P463:P482" si="86">IF(E463="Saving Allocation",H463,0)</f>
        <v>0</v>
      </c>
      <c r="Q463">
        <f t="shared" ref="Q463:Q482" si="87">IF(E463="Investment",H463,0)</f>
        <v>0</v>
      </c>
      <c r="R463">
        <f t="shared" ref="R463:R482" si="88">IF(E463="Debt Repayment",H463,0)</f>
        <v>0</v>
      </c>
      <c r="S463">
        <f t="shared" ref="S463:S482" si="89">IF(E463="Joint Account",H463,0)</f>
        <v>0</v>
      </c>
      <c r="T463">
        <f t="shared" ref="T463:T482" si="90">IF(E463="Income",H463,0)</f>
        <v>0</v>
      </c>
    </row>
    <row r="464" spans="1:20" ht="18" customHeight="1">
      <c r="A464" s="508" t="s">
        <v>513</v>
      </c>
      <c r="B464" s="624"/>
      <c r="C464" s="488"/>
      <c r="D464" s="489"/>
      <c r="E464" s="489"/>
      <c r="F464" s="489"/>
      <c r="G464" s="489"/>
      <c r="H464" s="490"/>
      <c r="I464" s="489"/>
      <c r="N464">
        <f t="shared" si="84"/>
        <v>0</v>
      </c>
      <c r="O464">
        <f t="shared" si="85"/>
        <v>0</v>
      </c>
      <c r="P464">
        <f t="shared" si="86"/>
        <v>0</v>
      </c>
      <c r="Q464">
        <f t="shared" si="87"/>
        <v>0</v>
      </c>
      <c r="R464">
        <f t="shared" si="88"/>
        <v>0</v>
      </c>
      <c r="S464">
        <f t="shared" si="89"/>
        <v>0</v>
      </c>
      <c r="T464">
        <f t="shared" si="90"/>
        <v>0</v>
      </c>
    </row>
    <row r="465" spans="1:20" ht="18" customHeight="1">
      <c r="A465" s="508" t="s">
        <v>513</v>
      </c>
      <c r="B465" s="624"/>
      <c r="C465" s="488"/>
      <c r="D465" s="489"/>
      <c r="E465" s="489"/>
      <c r="F465" s="489"/>
      <c r="G465" s="489"/>
      <c r="H465" s="490"/>
      <c r="I465" s="489"/>
      <c r="N465">
        <f t="shared" si="84"/>
        <v>0</v>
      </c>
      <c r="O465">
        <f t="shared" si="85"/>
        <v>0</v>
      </c>
      <c r="P465">
        <f t="shared" si="86"/>
        <v>0</v>
      </c>
      <c r="Q465">
        <f t="shared" si="87"/>
        <v>0</v>
      </c>
      <c r="R465">
        <f t="shared" si="88"/>
        <v>0</v>
      </c>
      <c r="S465">
        <f t="shared" si="89"/>
        <v>0</v>
      </c>
      <c r="T465">
        <f t="shared" si="90"/>
        <v>0</v>
      </c>
    </row>
    <row r="466" spans="1:20" ht="18" customHeight="1">
      <c r="A466" s="508" t="s">
        <v>513</v>
      </c>
      <c r="B466" s="624"/>
      <c r="C466" s="488"/>
      <c r="D466" s="489"/>
      <c r="E466" s="489"/>
      <c r="F466" s="489"/>
      <c r="G466" s="489"/>
      <c r="H466" s="490"/>
      <c r="I466" s="489"/>
      <c r="N466">
        <f t="shared" si="84"/>
        <v>0</v>
      </c>
      <c r="O466">
        <f t="shared" si="85"/>
        <v>0</v>
      </c>
      <c r="P466">
        <f t="shared" si="86"/>
        <v>0</v>
      </c>
      <c r="Q466">
        <f t="shared" si="87"/>
        <v>0</v>
      </c>
      <c r="R466">
        <f t="shared" si="88"/>
        <v>0</v>
      </c>
      <c r="S466">
        <f t="shared" si="89"/>
        <v>0</v>
      </c>
      <c r="T466">
        <f t="shared" si="90"/>
        <v>0</v>
      </c>
    </row>
    <row r="467" spans="1:20" ht="18" customHeight="1">
      <c r="A467" s="508" t="s">
        <v>513</v>
      </c>
      <c r="B467" s="624"/>
      <c r="C467" s="488"/>
      <c r="D467" s="489"/>
      <c r="E467" s="489"/>
      <c r="F467" s="489"/>
      <c r="G467" s="489"/>
      <c r="H467" s="490"/>
      <c r="I467" s="489"/>
      <c r="N467">
        <f t="shared" si="84"/>
        <v>0</v>
      </c>
      <c r="O467">
        <f t="shared" si="85"/>
        <v>0</v>
      </c>
      <c r="P467">
        <f t="shared" si="86"/>
        <v>0</v>
      </c>
      <c r="Q467">
        <f t="shared" si="87"/>
        <v>0</v>
      </c>
      <c r="R467">
        <f t="shared" si="88"/>
        <v>0</v>
      </c>
      <c r="S467">
        <f t="shared" si="89"/>
        <v>0</v>
      </c>
      <c r="T467">
        <f t="shared" si="90"/>
        <v>0</v>
      </c>
    </row>
    <row r="468" spans="1:20" ht="18" customHeight="1">
      <c r="A468" s="508" t="s">
        <v>513</v>
      </c>
      <c r="B468" s="624"/>
      <c r="C468" s="488"/>
      <c r="D468" s="489"/>
      <c r="E468" s="489"/>
      <c r="F468" s="489"/>
      <c r="G468" s="489"/>
      <c r="H468" s="490"/>
      <c r="I468" s="489"/>
      <c r="N468">
        <f t="shared" si="84"/>
        <v>0</v>
      </c>
      <c r="O468">
        <f t="shared" si="85"/>
        <v>0</v>
      </c>
      <c r="P468">
        <f t="shared" si="86"/>
        <v>0</v>
      </c>
      <c r="Q468">
        <f t="shared" si="87"/>
        <v>0</v>
      </c>
      <c r="R468">
        <f t="shared" si="88"/>
        <v>0</v>
      </c>
      <c r="S468">
        <f t="shared" si="89"/>
        <v>0</v>
      </c>
      <c r="T468">
        <f t="shared" si="90"/>
        <v>0</v>
      </c>
    </row>
    <row r="469" spans="1:20" ht="18" customHeight="1">
      <c r="A469" s="508" t="s">
        <v>513</v>
      </c>
      <c r="B469" s="624"/>
      <c r="C469" s="488"/>
      <c r="D469" s="489"/>
      <c r="E469" s="489"/>
      <c r="F469" s="489"/>
      <c r="G469" s="489"/>
      <c r="H469" s="490"/>
      <c r="I469" s="489"/>
      <c r="N469">
        <f t="shared" si="84"/>
        <v>0</v>
      </c>
      <c r="O469">
        <f t="shared" si="85"/>
        <v>0</v>
      </c>
      <c r="P469">
        <f t="shared" si="86"/>
        <v>0</v>
      </c>
      <c r="Q469">
        <f t="shared" si="87"/>
        <v>0</v>
      </c>
      <c r="R469">
        <f t="shared" si="88"/>
        <v>0</v>
      </c>
      <c r="S469">
        <f t="shared" si="89"/>
        <v>0</v>
      </c>
      <c r="T469">
        <f t="shared" si="90"/>
        <v>0</v>
      </c>
    </row>
    <row r="470" spans="1:20" ht="18" customHeight="1">
      <c r="A470" s="508" t="s">
        <v>513</v>
      </c>
      <c r="B470" s="624"/>
      <c r="C470" s="488"/>
      <c r="D470" s="489"/>
      <c r="E470" s="489"/>
      <c r="F470" s="489"/>
      <c r="G470" s="489"/>
      <c r="H470" s="490"/>
      <c r="I470" s="489"/>
      <c r="N470">
        <f t="shared" si="84"/>
        <v>0</v>
      </c>
      <c r="O470">
        <f t="shared" si="85"/>
        <v>0</v>
      </c>
      <c r="P470">
        <f t="shared" si="86"/>
        <v>0</v>
      </c>
      <c r="Q470">
        <f t="shared" si="87"/>
        <v>0</v>
      </c>
      <c r="R470">
        <f t="shared" si="88"/>
        <v>0</v>
      </c>
      <c r="S470">
        <f t="shared" si="89"/>
        <v>0</v>
      </c>
      <c r="T470">
        <f t="shared" si="90"/>
        <v>0</v>
      </c>
    </row>
    <row r="471" spans="1:20" ht="18" customHeight="1">
      <c r="A471" s="508" t="s">
        <v>513</v>
      </c>
      <c r="B471" s="624"/>
      <c r="C471" s="488"/>
      <c r="D471" s="489"/>
      <c r="E471" s="489"/>
      <c r="F471" s="489"/>
      <c r="G471" s="489"/>
      <c r="H471" s="490"/>
      <c r="I471" s="489"/>
      <c r="N471">
        <f t="shared" si="84"/>
        <v>0</v>
      </c>
      <c r="O471">
        <f t="shared" si="85"/>
        <v>0</v>
      </c>
      <c r="P471">
        <f t="shared" si="86"/>
        <v>0</v>
      </c>
      <c r="Q471">
        <f t="shared" si="87"/>
        <v>0</v>
      </c>
      <c r="R471">
        <f t="shared" si="88"/>
        <v>0</v>
      </c>
      <c r="S471">
        <f t="shared" si="89"/>
        <v>0</v>
      </c>
      <c r="T471">
        <f t="shared" si="90"/>
        <v>0</v>
      </c>
    </row>
    <row r="472" spans="1:20" ht="18" customHeight="1">
      <c r="A472" s="508" t="s">
        <v>513</v>
      </c>
      <c r="B472" s="624"/>
      <c r="C472" s="488"/>
      <c r="D472" s="489"/>
      <c r="E472" s="489"/>
      <c r="F472" s="489"/>
      <c r="G472" s="489"/>
      <c r="H472" s="490"/>
      <c r="I472" s="489"/>
      <c r="N472">
        <f t="shared" si="84"/>
        <v>0</v>
      </c>
      <c r="O472">
        <f t="shared" si="85"/>
        <v>0</v>
      </c>
      <c r="P472">
        <f t="shared" si="86"/>
        <v>0</v>
      </c>
      <c r="Q472">
        <f t="shared" si="87"/>
        <v>0</v>
      </c>
      <c r="R472">
        <f t="shared" si="88"/>
        <v>0</v>
      </c>
      <c r="S472">
        <f t="shared" si="89"/>
        <v>0</v>
      </c>
      <c r="T472">
        <f t="shared" si="90"/>
        <v>0</v>
      </c>
    </row>
    <row r="473" spans="1:20" ht="18" customHeight="1">
      <c r="A473" s="508" t="s">
        <v>513</v>
      </c>
      <c r="B473" s="624"/>
      <c r="C473" s="488"/>
      <c r="D473" s="489"/>
      <c r="E473" s="489"/>
      <c r="F473" s="489"/>
      <c r="G473" s="489"/>
      <c r="H473" s="490"/>
      <c r="I473" s="489"/>
      <c r="N473">
        <f t="shared" si="84"/>
        <v>0</v>
      </c>
      <c r="O473">
        <f t="shared" si="85"/>
        <v>0</v>
      </c>
      <c r="P473">
        <f t="shared" si="86"/>
        <v>0</v>
      </c>
      <c r="Q473">
        <f t="shared" si="87"/>
        <v>0</v>
      </c>
      <c r="R473">
        <f t="shared" si="88"/>
        <v>0</v>
      </c>
      <c r="S473">
        <f t="shared" si="89"/>
        <v>0</v>
      </c>
      <c r="T473">
        <f t="shared" si="90"/>
        <v>0</v>
      </c>
    </row>
    <row r="474" spans="1:20" ht="18" customHeight="1">
      <c r="A474" s="508" t="s">
        <v>513</v>
      </c>
      <c r="B474" s="624"/>
      <c r="C474" s="488"/>
      <c r="D474" s="489"/>
      <c r="E474" s="489"/>
      <c r="F474" s="489"/>
      <c r="G474" s="489"/>
      <c r="H474" s="490"/>
      <c r="I474" s="489"/>
      <c r="N474">
        <f t="shared" si="84"/>
        <v>0</v>
      </c>
      <c r="O474">
        <f t="shared" si="85"/>
        <v>0</v>
      </c>
      <c r="P474">
        <f t="shared" si="86"/>
        <v>0</v>
      </c>
      <c r="Q474">
        <f t="shared" si="87"/>
        <v>0</v>
      </c>
      <c r="R474">
        <f t="shared" si="88"/>
        <v>0</v>
      </c>
      <c r="S474">
        <f t="shared" si="89"/>
        <v>0</v>
      </c>
      <c r="T474">
        <f t="shared" si="90"/>
        <v>0</v>
      </c>
    </row>
    <row r="475" spans="1:20" ht="18" customHeight="1">
      <c r="A475" s="508" t="s">
        <v>513</v>
      </c>
      <c r="B475" s="624"/>
      <c r="C475" s="488"/>
      <c r="D475" s="489"/>
      <c r="E475" s="489"/>
      <c r="F475" s="489"/>
      <c r="G475" s="489"/>
      <c r="H475" s="490"/>
      <c r="I475" s="489"/>
      <c r="N475">
        <f t="shared" si="84"/>
        <v>0</v>
      </c>
      <c r="O475">
        <f t="shared" si="85"/>
        <v>0</v>
      </c>
      <c r="P475">
        <f t="shared" si="86"/>
        <v>0</v>
      </c>
      <c r="Q475">
        <f t="shared" si="87"/>
        <v>0</v>
      </c>
      <c r="R475">
        <f t="shared" si="88"/>
        <v>0</v>
      </c>
      <c r="S475">
        <f t="shared" si="89"/>
        <v>0</v>
      </c>
      <c r="T475">
        <f t="shared" si="90"/>
        <v>0</v>
      </c>
    </row>
    <row r="476" spans="1:20" ht="18" customHeight="1">
      <c r="A476" s="508" t="s">
        <v>513</v>
      </c>
      <c r="B476" s="624"/>
      <c r="C476" s="488"/>
      <c r="D476" s="489"/>
      <c r="E476" s="489"/>
      <c r="F476" s="489"/>
      <c r="G476" s="489"/>
      <c r="H476" s="490"/>
      <c r="I476" s="489"/>
      <c r="N476">
        <f t="shared" si="84"/>
        <v>0</v>
      </c>
      <c r="O476">
        <f t="shared" si="85"/>
        <v>0</v>
      </c>
      <c r="P476">
        <f t="shared" si="86"/>
        <v>0</v>
      </c>
      <c r="Q476">
        <f t="shared" si="87"/>
        <v>0</v>
      </c>
      <c r="R476">
        <f t="shared" si="88"/>
        <v>0</v>
      </c>
      <c r="S476">
        <f t="shared" si="89"/>
        <v>0</v>
      </c>
      <c r="T476">
        <f t="shared" si="90"/>
        <v>0</v>
      </c>
    </row>
    <row r="477" spans="1:20" ht="18" customHeight="1">
      <c r="A477" s="508" t="s">
        <v>513</v>
      </c>
      <c r="B477" s="624"/>
      <c r="C477" s="488"/>
      <c r="D477" s="489"/>
      <c r="E477" s="489"/>
      <c r="F477" s="489"/>
      <c r="G477" s="489"/>
      <c r="H477" s="490"/>
      <c r="I477" s="489"/>
      <c r="N477">
        <f t="shared" si="84"/>
        <v>0</v>
      </c>
      <c r="O477">
        <f t="shared" si="85"/>
        <v>0</v>
      </c>
      <c r="P477">
        <f t="shared" si="86"/>
        <v>0</v>
      </c>
      <c r="Q477">
        <f t="shared" si="87"/>
        <v>0</v>
      </c>
      <c r="R477">
        <f t="shared" si="88"/>
        <v>0</v>
      </c>
      <c r="S477">
        <f t="shared" si="89"/>
        <v>0</v>
      </c>
      <c r="T477">
        <f t="shared" si="90"/>
        <v>0</v>
      </c>
    </row>
    <row r="478" spans="1:20" ht="18" customHeight="1">
      <c r="A478" s="508" t="s">
        <v>513</v>
      </c>
      <c r="B478" s="624"/>
      <c r="C478" s="488"/>
      <c r="D478" s="489"/>
      <c r="E478" s="489"/>
      <c r="F478" s="489"/>
      <c r="G478" s="489"/>
      <c r="H478" s="490"/>
      <c r="I478" s="489"/>
      <c r="N478">
        <f t="shared" si="84"/>
        <v>0</v>
      </c>
      <c r="O478">
        <f t="shared" si="85"/>
        <v>0</v>
      </c>
      <c r="P478">
        <f t="shared" si="86"/>
        <v>0</v>
      </c>
      <c r="Q478">
        <f t="shared" si="87"/>
        <v>0</v>
      </c>
      <c r="R478">
        <f t="shared" si="88"/>
        <v>0</v>
      </c>
      <c r="S478">
        <f t="shared" si="89"/>
        <v>0</v>
      </c>
      <c r="T478">
        <f t="shared" si="90"/>
        <v>0</v>
      </c>
    </row>
    <row r="479" spans="1:20" ht="18" customHeight="1">
      <c r="A479" s="508" t="s">
        <v>513</v>
      </c>
      <c r="B479" s="624"/>
      <c r="C479" s="488"/>
      <c r="D479" s="489"/>
      <c r="E479" s="489"/>
      <c r="F479" s="489"/>
      <c r="G479" s="489"/>
      <c r="H479" s="490"/>
      <c r="I479" s="489"/>
      <c r="N479">
        <f t="shared" si="84"/>
        <v>0</v>
      </c>
      <c r="O479">
        <f t="shared" si="85"/>
        <v>0</v>
      </c>
      <c r="P479">
        <f t="shared" si="86"/>
        <v>0</v>
      </c>
      <c r="Q479">
        <f t="shared" si="87"/>
        <v>0</v>
      </c>
      <c r="R479">
        <f t="shared" si="88"/>
        <v>0</v>
      </c>
      <c r="S479">
        <f t="shared" si="89"/>
        <v>0</v>
      </c>
      <c r="T479">
        <f t="shared" si="90"/>
        <v>0</v>
      </c>
    </row>
    <row r="480" spans="1:20" ht="18" customHeight="1">
      <c r="A480" s="508" t="s">
        <v>513</v>
      </c>
      <c r="B480" s="624"/>
      <c r="C480" s="488"/>
      <c r="D480" s="489"/>
      <c r="E480" s="489"/>
      <c r="F480" s="489"/>
      <c r="G480" s="489"/>
      <c r="H480" s="490"/>
      <c r="I480" s="489"/>
      <c r="N480">
        <f t="shared" si="84"/>
        <v>0</v>
      </c>
      <c r="O480">
        <f t="shared" si="85"/>
        <v>0</v>
      </c>
      <c r="P480">
        <f t="shared" si="86"/>
        <v>0</v>
      </c>
      <c r="Q480">
        <f t="shared" si="87"/>
        <v>0</v>
      </c>
      <c r="R480">
        <f t="shared" si="88"/>
        <v>0</v>
      </c>
      <c r="S480">
        <f t="shared" si="89"/>
        <v>0</v>
      </c>
      <c r="T480">
        <f t="shared" si="90"/>
        <v>0</v>
      </c>
    </row>
    <row r="481" spans="1:20" ht="18" customHeight="1">
      <c r="A481" s="508" t="s">
        <v>513</v>
      </c>
      <c r="B481" s="624"/>
      <c r="C481" s="488"/>
      <c r="D481" s="489"/>
      <c r="E481" s="489"/>
      <c r="F481" s="489"/>
      <c r="G481" s="489"/>
      <c r="H481" s="490"/>
      <c r="I481" s="489"/>
      <c r="N481">
        <f t="shared" si="84"/>
        <v>0</v>
      </c>
      <c r="O481">
        <f t="shared" si="85"/>
        <v>0</v>
      </c>
      <c r="P481">
        <f t="shared" si="86"/>
        <v>0</v>
      </c>
      <c r="Q481">
        <f t="shared" si="87"/>
        <v>0</v>
      </c>
      <c r="R481">
        <f t="shared" si="88"/>
        <v>0</v>
      </c>
      <c r="S481">
        <f t="shared" si="89"/>
        <v>0</v>
      </c>
      <c r="T481">
        <f t="shared" si="90"/>
        <v>0</v>
      </c>
    </row>
    <row r="482" spans="1:20" ht="18" customHeight="1">
      <c r="A482" s="508" t="s">
        <v>513</v>
      </c>
      <c r="B482" s="624"/>
      <c r="C482" s="488"/>
      <c r="D482" s="489"/>
      <c r="E482" s="489"/>
      <c r="F482" s="489"/>
      <c r="G482" s="489"/>
      <c r="H482" s="490"/>
      <c r="I482" s="489"/>
      <c r="N482">
        <f t="shared" si="84"/>
        <v>0</v>
      </c>
      <c r="O482">
        <f t="shared" si="85"/>
        <v>0</v>
      </c>
      <c r="P482">
        <f t="shared" si="86"/>
        <v>0</v>
      </c>
      <c r="Q482">
        <f t="shared" si="87"/>
        <v>0</v>
      </c>
      <c r="R482">
        <f t="shared" si="88"/>
        <v>0</v>
      </c>
      <c r="S482">
        <f t="shared" si="89"/>
        <v>0</v>
      </c>
      <c r="T482">
        <f t="shared" si="90"/>
        <v>0</v>
      </c>
    </row>
    <row r="483" spans="1:20" ht="18" customHeight="1">
      <c r="A483" t="s">
        <v>513</v>
      </c>
      <c r="B483" s="624"/>
      <c r="C483" s="489"/>
      <c r="D483" s="489"/>
      <c r="E483" s="489"/>
      <c r="F483" s="489"/>
      <c r="G483" s="489"/>
      <c r="H483" s="490"/>
      <c r="I483" s="489"/>
    </row>
    <row r="484" spans="1:20" ht="18" customHeight="1">
      <c r="A484" t="s">
        <v>513</v>
      </c>
      <c r="B484" s="625"/>
      <c r="C484" s="489"/>
      <c r="D484" s="489"/>
      <c r="E484" s="489"/>
      <c r="F484" s="489"/>
      <c r="G484" s="489"/>
      <c r="H484" s="490"/>
      <c r="I484" s="489"/>
    </row>
    <row r="485" spans="1:20" ht="18" customHeight="1">
      <c r="A485" t="s">
        <v>513</v>
      </c>
      <c r="B485" s="614" t="s">
        <v>254</v>
      </c>
      <c r="C485" s="612"/>
      <c r="D485" s="612"/>
      <c r="E485" s="612"/>
      <c r="F485" s="612"/>
      <c r="G485" s="613"/>
      <c r="H485" s="510">
        <f>SUMIFS($H:$H,$A:$A,"2/6/26 -&gt; 8/6/26",$E:$E,"Income")</f>
        <v>0</v>
      </c>
      <c r="I485" s="252"/>
    </row>
    <row r="486" spans="1:20" ht="18" customHeight="1">
      <c r="A486" t="s">
        <v>513</v>
      </c>
      <c r="B486" s="611" t="s">
        <v>493</v>
      </c>
      <c r="C486" s="612"/>
      <c r="D486" s="612"/>
      <c r="E486" s="612"/>
      <c r="F486" s="612"/>
      <c r="G486" s="613"/>
      <c r="H486" s="509">
        <f>SUMIFS($H:$H,$A:$A,"2/6/26 -&gt; 8/6/26",$E:$E,"Joint Account")</f>
        <v>0</v>
      </c>
      <c r="I486" s="515"/>
    </row>
    <row r="487" spans="1:20" ht="18" customHeight="1">
      <c r="A487" t="s">
        <v>513</v>
      </c>
      <c r="B487" s="611" t="s">
        <v>494</v>
      </c>
      <c r="C487" s="612"/>
      <c r="D487" s="612"/>
      <c r="E487" s="612"/>
      <c r="F487" s="612"/>
      <c r="G487" s="613"/>
      <c r="H487" s="509">
        <f>SUMIFS($H:$H,$A:$A,"2/6/26 -&gt; 8/6/26",$E:$E,"Recurring Expense")</f>
        <v>0</v>
      </c>
      <c r="I487" s="515"/>
    </row>
    <row r="488" spans="1:20" ht="18" customHeight="1">
      <c r="A488" t="s">
        <v>513</v>
      </c>
      <c r="B488" s="611" t="s">
        <v>227</v>
      </c>
      <c r="C488" s="612"/>
      <c r="D488" s="612"/>
      <c r="E488" s="612"/>
      <c r="F488" s="612"/>
      <c r="G488" s="613"/>
      <c r="H488" s="509">
        <f>SUMIFS($H:$H,$A:$A,"2/6/26 -&gt; 8/6/26",$E:$E,"Investment")</f>
        <v>0</v>
      </c>
      <c r="I488" s="515"/>
    </row>
    <row r="489" spans="1:20" ht="18" customHeight="1">
      <c r="A489" t="s">
        <v>513</v>
      </c>
      <c r="B489" s="611" t="s">
        <v>250</v>
      </c>
      <c r="C489" s="612"/>
      <c r="D489" s="612"/>
      <c r="E489" s="612"/>
      <c r="F489" s="612"/>
      <c r="G489" s="613"/>
      <c r="H489" s="509">
        <f>SUMIFS($H:$H,$A:$A,"2/6/26 -&gt; 8/6/26",$E:$E,"Saving Allocation")</f>
        <v>0</v>
      </c>
      <c r="I489" s="515"/>
    </row>
    <row r="490" spans="1:20" ht="18" customHeight="1">
      <c r="A490" t="s">
        <v>513</v>
      </c>
      <c r="B490" s="611" t="s">
        <v>496</v>
      </c>
      <c r="C490" s="612"/>
      <c r="D490" s="612"/>
      <c r="E490" s="612"/>
      <c r="F490" s="612"/>
      <c r="G490" s="613"/>
      <c r="H490" s="509">
        <f>SUMIFS($H:$H,$A:$A,"2/6/26 -&gt; 8/6/26",$E:$E,"Personal Expense")</f>
        <v>0</v>
      </c>
      <c r="I490" s="515"/>
    </row>
    <row r="491" spans="1:20" ht="18" customHeight="1">
      <c r="A491" t="s">
        <v>513</v>
      </c>
      <c r="B491" s="626" t="s">
        <v>253</v>
      </c>
      <c r="C491" s="612"/>
      <c r="D491" s="612"/>
      <c r="E491" s="612"/>
      <c r="F491" s="612"/>
      <c r="G491" s="613"/>
      <c r="H491" s="513">
        <f>SUMIFS($H:$H,$A:$A,"2/6/26 -&gt; 8/6/26",$E:$E,"Joint Account")+SUMIFS($H:$H,$A:$A,"2/6/26 -&gt; 8/6/26",$E:$E,"Recurring Expense")+SUMIFS($H:$H,$A:$A,"2/6/26 -&gt; 8/6/26",$E:$E,"Investment")+SUMIFS($H:$H,$A:$A,"2/6/26 -&gt; 8/6/26",$E:$E,"Saving Allocation")+SUMIFS($H:$H,$A:$A,"2/6/26 -&gt; 8/6/26",$E:$E,"Personal Expense")+SUMIFS($H:$H,$A:$A,"2/6/26 -&gt; 8/6/26",$E:$E,"Debt Repayment")</f>
        <v>0</v>
      </c>
      <c r="I491" s="514"/>
    </row>
    <row r="492" spans="1:20" ht="18" customHeight="1">
      <c r="A492" t="s">
        <v>513</v>
      </c>
      <c r="B492" s="617" t="s">
        <v>497</v>
      </c>
      <c r="C492" s="618"/>
      <c r="D492" s="618"/>
      <c r="E492" s="618"/>
      <c r="F492" s="618"/>
      <c r="G492" s="619"/>
      <c r="H492" s="586">
        <f>SUMIFS($H:$H,$A:$A,"2/6/26 -&gt; 8/6/26",$E:$E,"Income")-SUMIFS($H:$H,$A:$A,"2/6/26 -&gt; 8/6/26",$E:$E,"Joint Account")-SUMIFS($H:$H,$A:$A,"2/6/26 -&gt; 8/6/26",$E:$E,"Recurring Expense")-SUMIFS($H:$H,$A:$A,"2/6/26 -&gt; 8/6/26",$E:$E,"Investment")-SUMIFS($H:$H,$A:$A,"2/6/26 -&gt; 8/6/26",$E:$E,"Saving Allocation")-SUMIFS($H:$H,$A:$A,"2/6/26 -&gt; 8/6/26",$E:$E,"Personal Expense")-SUMIFS($H:$H,$A:$A,"2/6/26 -&gt; 8/6/26",$E:$E,"Debt Repayment")</f>
        <v>0</v>
      </c>
      <c r="I492" s="514"/>
    </row>
    <row r="493" spans="1:20" ht="18" customHeight="1">
      <c r="B493" s="626" t="s">
        <v>554</v>
      </c>
      <c r="C493" s="612"/>
      <c r="D493" s="612"/>
      <c r="E493" s="612"/>
      <c r="F493" s="612"/>
      <c r="G493" s="613"/>
      <c r="H493" s="513">
        <f>SUMIFS($H:$H,$A:$A,"2/6/26 -&gt; 8/6/26",$E:$E,"Income")-SUMIFS($H:$H,$A:$A,"2/6/26 -&gt; 8/6/26",$E:$E,"Joint Account")-SUMIFS($H:$H,$A:$A,"2/6/26 -&gt; 8/6/26",$E:$E,"Recurring Expense")-SUMIFS($H:$H,$A:$A,"2/6/26 -&gt; 8/6/26",$E:$E,"Investment")-SUMIFS($H:$H,$A:$A,"2/6/26 -&gt; 8/6/26",$E:$E,"Personal Expense")-SUMIFS($H:$H,$A:$A,"2/6/26 -&gt; 8/6/26",$E:$E,"Debt Repayment")</f>
        <v>0</v>
      </c>
      <c r="I493" s="514"/>
    </row>
    <row r="494" spans="1:20" ht="18" customHeight="1">
      <c r="B494" s="499"/>
      <c r="C494" s="499"/>
      <c r="D494" s="499"/>
      <c r="E494" s="499"/>
      <c r="F494" s="499"/>
      <c r="G494" s="499"/>
      <c r="H494" s="499"/>
      <c r="I494" s="499"/>
    </row>
    <row r="495" spans="1:20" ht="18" customHeight="1">
      <c r="A495" s="508" t="s">
        <v>512</v>
      </c>
      <c r="B495" s="623" t="s">
        <v>512</v>
      </c>
      <c r="C495" s="485"/>
      <c r="D495" s="486"/>
      <c r="E495" s="486"/>
      <c r="F495" s="486"/>
      <c r="G495" s="486"/>
      <c r="H495" s="487"/>
      <c r="I495" s="486"/>
      <c r="N495">
        <f t="shared" ref="N495:N514" si="91">IF(OR(E495="Personal Expense",E495="Recurring Expense"),H495,0)</f>
        <v>0</v>
      </c>
      <c r="O495">
        <f t="shared" ref="O495:O514" si="92">IF(E495="Internal Transfer",H495,0)</f>
        <v>0</v>
      </c>
      <c r="P495">
        <f t="shared" ref="P495:P514" si="93">IF(E495="Saving Allocation",H495,0)</f>
        <v>0</v>
      </c>
      <c r="Q495">
        <f t="shared" ref="Q495:Q514" si="94">IF(E495="Investment",H495,0)</f>
        <v>0</v>
      </c>
      <c r="R495">
        <f t="shared" ref="R495:R514" si="95">IF(E495="Debt Repayment",H495,0)</f>
        <v>0</v>
      </c>
      <c r="S495">
        <f t="shared" ref="S495:S514" si="96">IF(E495="Joint Account",H495,0)</f>
        <v>0</v>
      </c>
      <c r="T495">
        <f t="shared" ref="T495:T514" si="97">IF(E495="Income",H495,0)</f>
        <v>0</v>
      </c>
    </row>
    <row r="496" spans="1:20" ht="18" customHeight="1">
      <c r="A496" s="508" t="s">
        <v>512</v>
      </c>
      <c r="B496" s="624"/>
      <c r="C496" s="488"/>
      <c r="D496" s="489"/>
      <c r="E496" s="489"/>
      <c r="F496" s="489"/>
      <c r="G496" s="489"/>
      <c r="H496" s="490"/>
      <c r="I496" s="489"/>
      <c r="N496">
        <f t="shared" si="91"/>
        <v>0</v>
      </c>
      <c r="O496">
        <f t="shared" si="92"/>
        <v>0</v>
      </c>
      <c r="P496">
        <f t="shared" si="93"/>
        <v>0</v>
      </c>
      <c r="Q496">
        <f t="shared" si="94"/>
        <v>0</v>
      </c>
      <c r="R496">
        <f t="shared" si="95"/>
        <v>0</v>
      </c>
      <c r="S496">
        <f t="shared" si="96"/>
        <v>0</v>
      </c>
      <c r="T496">
        <f t="shared" si="97"/>
        <v>0</v>
      </c>
    </row>
    <row r="497" spans="1:20" ht="18" customHeight="1">
      <c r="A497" s="508" t="s">
        <v>512</v>
      </c>
      <c r="B497" s="624"/>
      <c r="C497" s="488"/>
      <c r="D497" s="489"/>
      <c r="E497" s="489"/>
      <c r="F497" s="489"/>
      <c r="G497" s="489"/>
      <c r="H497" s="490"/>
      <c r="I497" s="489"/>
      <c r="N497">
        <f t="shared" si="91"/>
        <v>0</v>
      </c>
      <c r="O497">
        <f t="shared" si="92"/>
        <v>0</v>
      </c>
      <c r="P497">
        <f t="shared" si="93"/>
        <v>0</v>
      </c>
      <c r="Q497">
        <f t="shared" si="94"/>
        <v>0</v>
      </c>
      <c r="R497">
        <f t="shared" si="95"/>
        <v>0</v>
      </c>
      <c r="S497">
        <f t="shared" si="96"/>
        <v>0</v>
      </c>
      <c r="T497">
        <f t="shared" si="97"/>
        <v>0</v>
      </c>
    </row>
    <row r="498" spans="1:20" ht="18" customHeight="1">
      <c r="A498" s="508" t="s">
        <v>512</v>
      </c>
      <c r="B498" s="624"/>
      <c r="C498" s="488"/>
      <c r="D498" s="489"/>
      <c r="E498" s="489"/>
      <c r="F498" s="489"/>
      <c r="G498" s="489"/>
      <c r="H498" s="490"/>
      <c r="I498" s="489"/>
      <c r="N498">
        <f t="shared" si="91"/>
        <v>0</v>
      </c>
      <c r="O498">
        <f t="shared" si="92"/>
        <v>0</v>
      </c>
      <c r="P498">
        <f t="shared" si="93"/>
        <v>0</v>
      </c>
      <c r="Q498">
        <f t="shared" si="94"/>
        <v>0</v>
      </c>
      <c r="R498">
        <f t="shared" si="95"/>
        <v>0</v>
      </c>
      <c r="S498">
        <f t="shared" si="96"/>
        <v>0</v>
      </c>
      <c r="T498">
        <f t="shared" si="97"/>
        <v>0</v>
      </c>
    </row>
    <row r="499" spans="1:20" ht="18" customHeight="1">
      <c r="A499" s="508" t="s">
        <v>512</v>
      </c>
      <c r="B499" s="624"/>
      <c r="C499" s="488"/>
      <c r="D499" s="489"/>
      <c r="E499" s="489"/>
      <c r="F499" s="489"/>
      <c r="G499" s="489"/>
      <c r="H499" s="490"/>
      <c r="I499" s="489"/>
      <c r="N499">
        <f t="shared" si="91"/>
        <v>0</v>
      </c>
      <c r="O499">
        <f t="shared" si="92"/>
        <v>0</v>
      </c>
      <c r="P499">
        <f t="shared" si="93"/>
        <v>0</v>
      </c>
      <c r="Q499">
        <f t="shared" si="94"/>
        <v>0</v>
      </c>
      <c r="R499">
        <f t="shared" si="95"/>
        <v>0</v>
      </c>
      <c r="S499">
        <f t="shared" si="96"/>
        <v>0</v>
      </c>
      <c r="T499">
        <f t="shared" si="97"/>
        <v>0</v>
      </c>
    </row>
    <row r="500" spans="1:20" ht="18" customHeight="1">
      <c r="A500" s="508" t="s">
        <v>512</v>
      </c>
      <c r="B500" s="624"/>
      <c r="C500" s="488"/>
      <c r="D500" s="489"/>
      <c r="E500" s="489"/>
      <c r="F500" s="489"/>
      <c r="G500" s="489"/>
      <c r="H500" s="490"/>
      <c r="I500" s="489"/>
      <c r="N500">
        <f t="shared" si="91"/>
        <v>0</v>
      </c>
      <c r="O500">
        <f t="shared" si="92"/>
        <v>0</v>
      </c>
      <c r="P500">
        <f t="shared" si="93"/>
        <v>0</v>
      </c>
      <c r="Q500">
        <f t="shared" si="94"/>
        <v>0</v>
      </c>
      <c r="R500">
        <f t="shared" si="95"/>
        <v>0</v>
      </c>
      <c r="S500">
        <f t="shared" si="96"/>
        <v>0</v>
      </c>
      <c r="T500">
        <f t="shared" si="97"/>
        <v>0</v>
      </c>
    </row>
    <row r="501" spans="1:20" ht="18" customHeight="1">
      <c r="A501" s="508" t="s">
        <v>512</v>
      </c>
      <c r="B501" s="624"/>
      <c r="C501" s="488"/>
      <c r="D501" s="489"/>
      <c r="E501" s="489"/>
      <c r="F501" s="489"/>
      <c r="G501" s="489"/>
      <c r="H501" s="490"/>
      <c r="I501" s="489"/>
      <c r="N501">
        <f t="shared" si="91"/>
        <v>0</v>
      </c>
      <c r="O501">
        <f t="shared" si="92"/>
        <v>0</v>
      </c>
      <c r="P501">
        <f t="shared" si="93"/>
        <v>0</v>
      </c>
      <c r="Q501">
        <f t="shared" si="94"/>
        <v>0</v>
      </c>
      <c r="R501">
        <f t="shared" si="95"/>
        <v>0</v>
      </c>
      <c r="S501">
        <f t="shared" si="96"/>
        <v>0</v>
      </c>
      <c r="T501">
        <f t="shared" si="97"/>
        <v>0</v>
      </c>
    </row>
    <row r="502" spans="1:20" ht="18" customHeight="1">
      <c r="A502" s="508" t="s">
        <v>512</v>
      </c>
      <c r="B502" s="624"/>
      <c r="C502" s="488"/>
      <c r="D502" s="489"/>
      <c r="E502" s="489"/>
      <c r="F502" s="489"/>
      <c r="G502" s="489"/>
      <c r="H502" s="490"/>
      <c r="I502" s="489"/>
      <c r="N502">
        <f t="shared" si="91"/>
        <v>0</v>
      </c>
      <c r="O502">
        <f t="shared" si="92"/>
        <v>0</v>
      </c>
      <c r="P502">
        <f t="shared" si="93"/>
        <v>0</v>
      </c>
      <c r="Q502">
        <f t="shared" si="94"/>
        <v>0</v>
      </c>
      <c r="R502">
        <f t="shared" si="95"/>
        <v>0</v>
      </c>
      <c r="S502">
        <f t="shared" si="96"/>
        <v>0</v>
      </c>
      <c r="T502">
        <f t="shared" si="97"/>
        <v>0</v>
      </c>
    </row>
    <row r="503" spans="1:20" ht="18" customHeight="1">
      <c r="A503" s="508" t="s">
        <v>512</v>
      </c>
      <c r="B503" s="624"/>
      <c r="C503" s="488"/>
      <c r="D503" s="489"/>
      <c r="E503" s="489"/>
      <c r="F503" s="489"/>
      <c r="G503" s="489"/>
      <c r="H503" s="490"/>
      <c r="I503" s="489"/>
      <c r="N503">
        <f t="shared" si="91"/>
        <v>0</v>
      </c>
      <c r="O503">
        <f t="shared" si="92"/>
        <v>0</v>
      </c>
      <c r="P503">
        <f t="shared" si="93"/>
        <v>0</v>
      </c>
      <c r="Q503">
        <f t="shared" si="94"/>
        <v>0</v>
      </c>
      <c r="R503">
        <f t="shared" si="95"/>
        <v>0</v>
      </c>
      <c r="S503">
        <f t="shared" si="96"/>
        <v>0</v>
      </c>
      <c r="T503">
        <f t="shared" si="97"/>
        <v>0</v>
      </c>
    </row>
    <row r="504" spans="1:20" ht="18" customHeight="1">
      <c r="A504" s="508" t="s">
        <v>512</v>
      </c>
      <c r="B504" s="624"/>
      <c r="C504" s="488"/>
      <c r="D504" s="489"/>
      <c r="E504" s="489"/>
      <c r="F504" s="489"/>
      <c r="G504" s="489"/>
      <c r="H504" s="490"/>
      <c r="I504" s="489"/>
      <c r="N504">
        <f t="shared" si="91"/>
        <v>0</v>
      </c>
      <c r="O504">
        <f t="shared" si="92"/>
        <v>0</v>
      </c>
      <c r="P504">
        <f t="shared" si="93"/>
        <v>0</v>
      </c>
      <c r="Q504">
        <f t="shared" si="94"/>
        <v>0</v>
      </c>
      <c r="R504">
        <f t="shared" si="95"/>
        <v>0</v>
      </c>
      <c r="S504">
        <f t="shared" si="96"/>
        <v>0</v>
      </c>
      <c r="T504">
        <f t="shared" si="97"/>
        <v>0</v>
      </c>
    </row>
    <row r="505" spans="1:20" ht="18" customHeight="1">
      <c r="A505" s="508" t="s">
        <v>512</v>
      </c>
      <c r="B505" s="624"/>
      <c r="C505" s="488"/>
      <c r="D505" s="489"/>
      <c r="E505" s="489"/>
      <c r="F505" s="489"/>
      <c r="G505" s="489"/>
      <c r="H505" s="490"/>
      <c r="I505" s="489"/>
      <c r="N505">
        <f t="shared" si="91"/>
        <v>0</v>
      </c>
      <c r="O505">
        <f t="shared" si="92"/>
        <v>0</v>
      </c>
      <c r="P505">
        <f t="shared" si="93"/>
        <v>0</v>
      </c>
      <c r="Q505">
        <f t="shared" si="94"/>
        <v>0</v>
      </c>
      <c r="R505">
        <f t="shared" si="95"/>
        <v>0</v>
      </c>
      <c r="S505">
        <f t="shared" si="96"/>
        <v>0</v>
      </c>
      <c r="T505">
        <f t="shared" si="97"/>
        <v>0</v>
      </c>
    </row>
    <row r="506" spans="1:20" ht="18" customHeight="1">
      <c r="A506" s="508" t="s">
        <v>512</v>
      </c>
      <c r="B506" s="624"/>
      <c r="C506" s="488"/>
      <c r="D506" s="489"/>
      <c r="E506" s="489"/>
      <c r="F506" s="489"/>
      <c r="G506" s="489"/>
      <c r="H506" s="490"/>
      <c r="I506" s="489"/>
      <c r="N506">
        <f t="shared" si="91"/>
        <v>0</v>
      </c>
      <c r="O506">
        <f t="shared" si="92"/>
        <v>0</v>
      </c>
      <c r="P506">
        <f t="shared" si="93"/>
        <v>0</v>
      </c>
      <c r="Q506">
        <f t="shared" si="94"/>
        <v>0</v>
      </c>
      <c r="R506">
        <f t="shared" si="95"/>
        <v>0</v>
      </c>
      <c r="S506">
        <f t="shared" si="96"/>
        <v>0</v>
      </c>
      <c r="T506">
        <f t="shared" si="97"/>
        <v>0</v>
      </c>
    </row>
    <row r="507" spans="1:20" ht="18" customHeight="1">
      <c r="A507" s="508" t="s">
        <v>512</v>
      </c>
      <c r="B507" s="624"/>
      <c r="C507" s="488"/>
      <c r="D507" s="489"/>
      <c r="E507" s="489"/>
      <c r="F507" s="489"/>
      <c r="G507" s="489"/>
      <c r="H507" s="490"/>
      <c r="I507" s="489"/>
      <c r="N507">
        <f t="shared" si="91"/>
        <v>0</v>
      </c>
      <c r="O507">
        <f t="shared" si="92"/>
        <v>0</v>
      </c>
      <c r="P507">
        <f t="shared" si="93"/>
        <v>0</v>
      </c>
      <c r="Q507">
        <f t="shared" si="94"/>
        <v>0</v>
      </c>
      <c r="R507">
        <f t="shared" si="95"/>
        <v>0</v>
      </c>
      <c r="S507">
        <f t="shared" si="96"/>
        <v>0</v>
      </c>
      <c r="T507">
        <f t="shared" si="97"/>
        <v>0</v>
      </c>
    </row>
    <row r="508" spans="1:20" ht="18" customHeight="1">
      <c r="A508" s="508" t="s">
        <v>512</v>
      </c>
      <c r="B508" s="624"/>
      <c r="C508" s="488"/>
      <c r="D508" s="489"/>
      <c r="E508" s="489"/>
      <c r="F508" s="489"/>
      <c r="G508" s="489"/>
      <c r="H508" s="490"/>
      <c r="I508" s="489"/>
      <c r="N508">
        <f t="shared" si="91"/>
        <v>0</v>
      </c>
      <c r="O508">
        <f t="shared" si="92"/>
        <v>0</v>
      </c>
      <c r="P508">
        <f t="shared" si="93"/>
        <v>0</v>
      </c>
      <c r="Q508">
        <f t="shared" si="94"/>
        <v>0</v>
      </c>
      <c r="R508">
        <f t="shared" si="95"/>
        <v>0</v>
      </c>
      <c r="S508">
        <f t="shared" si="96"/>
        <v>0</v>
      </c>
      <c r="T508">
        <f t="shared" si="97"/>
        <v>0</v>
      </c>
    </row>
    <row r="509" spans="1:20" ht="18" customHeight="1">
      <c r="A509" s="508" t="s">
        <v>512</v>
      </c>
      <c r="B509" s="624"/>
      <c r="C509" s="488"/>
      <c r="D509" s="489"/>
      <c r="E509" s="489"/>
      <c r="F509" s="489"/>
      <c r="G509" s="489"/>
      <c r="H509" s="490"/>
      <c r="I509" s="489"/>
      <c r="N509">
        <f t="shared" si="91"/>
        <v>0</v>
      </c>
      <c r="O509">
        <f t="shared" si="92"/>
        <v>0</v>
      </c>
      <c r="P509">
        <f t="shared" si="93"/>
        <v>0</v>
      </c>
      <c r="Q509">
        <f t="shared" si="94"/>
        <v>0</v>
      </c>
      <c r="R509">
        <f t="shared" si="95"/>
        <v>0</v>
      </c>
      <c r="S509">
        <f t="shared" si="96"/>
        <v>0</v>
      </c>
      <c r="T509">
        <f t="shared" si="97"/>
        <v>0</v>
      </c>
    </row>
    <row r="510" spans="1:20" ht="18" customHeight="1">
      <c r="A510" s="508" t="s">
        <v>512</v>
      </c>
      <c r="B510" s="624"/>
      <c r="C510" s="488"/>
      <c r="D510" s="489"/>
      <c r="E510" s="489"/>
      <c r="F510" s="489"/>
      <c r="G510" s="489"/>
      <c r="H510" s="490"/>
      <c r="I510" s="489"/>
      <c r="N510">
        <f t="shared" si="91"/>
        <v>0</v>
      </c>
      <c r="O510">
        <f t="shared" si="92"/>
        <v>0</v>
      </c>
      <c r="P510">
        <f t="shared" si="93"/>
        <v>0</v>
      </c>
      <c r="Q510">
        <f t="shared" si="94"/>
        <v>0</v>
      </c>
      <c r="R510">
        <f t="shared" si="95"/>
        <v>0</v>
      </c>
      <c r="S510">
        <f t="shared" si="96"/>
        <v>0</v>
      </c>
      <c r="T510">
        <f t="shared" si="97"/>
        <v>0</v>
      </c>
    </row>
    <row r="511" spans="1:20" ht="18" customHeight="1">
      <c r="A511" s="508" t="s">
        <v>512</v>
      </c>
      <c r="B511" s="624"/>
      <c r="C511" s="488"/>
      <c r="D511" s="489"/>
      <c r="E511" s="489"/>
      <c r="F511" s="489"/>
      <c r="G511" s="489"/>
      <c r="H511" s="490"/>
      <c r="I511" s="489"/>
      <c r="N511">
        <f t="shared" si="91"/>
        <v>0</v>
      </c>
      <c r="O511">
        <f t="shared" si="92"/>
        <v>0</v>
      </c>
      <c r="P511">
        <f t="shared" si="93"/>
        <v>0</v>
      </c>
      <c r="Q511">
        <f t="shared" si="94"/>
        <v>0</v>
      </c>
      <c r="R511">
        <f t="shared" si="95"/>
        <v>0</v>
      </c>
      <c r="S511">
        <f t="shared" si="96"/>
        <v>0</v>
      </c>
      <c r="T511">
        <f t="shared" si="97"/>
        <v>0</v>
      </c>
    </row>
    <row r="512" spans="1:20" ht="18" customHeight="1">
      <c r="A512" s="508" t="s">
        <v>512</v>
      </c>
      <c r="B512" s="624"/>
      <c r="C512" s="488"/>
      <c r="D512" s="489"/>
      <c r="E512" s="489"/>
      <c r="F512" s="489"/>
      <c r="G512" s="489"/>
      <c r="H512" s="490"/>
      <c r="I512" s="489"/>
      <c r="N512">
        <f t="shared" si="91"/>
        <v>0</v>
      </c>
      <c r="O512">
        <f t="shared" si="92"/>
        <v>0</v>
      </c>
      <c r="P512">
        <f t="shared" si="93"/>
        <v>0</v>
      </c>
      <c r="Q512">
        <f t="shared" si="94"/>
        <v>0</v>
      </c>
      <c r="R512">
        <f t="shared" si="95"/>
        <v>0</v>
      </c>
      <c r="S512">
        <f t="shared" si="96"/>
        <v>0</v>
      </c>
      <c r="T512">
        <f t="shared" si="97"/>
        <v>0</v>
      </c>
    </row>
    <row r="513" spans="1:20" ht="18" customHeight="1">
      <c r="A513" s="508" t="s">
        <v>512</v>
      </c>
      <c r="B513" s="624"/>
      <c r="C513" s="488"/>
      <c r="D513" s="489"/>
      <c r="E513" s="489"/>
      <c r="F513" s="489"/>
      <c r="G513" s="489"/>
      <c r="H513" s="490"/>
      <c r="I513" s="489"/>
      <c r="N513">
        <f t="shared" si="91"/>
        <v>0</v>
      </c>
      <c r="O513">
        <f t="shared" si="92"/>
        <v>0</v>
      </c>
      <c r="P513">
        <f t="shared" si="93"/>
        <v>0</v>
      </c>
      <c r="Q513">
        <f t="shared" si="94"/>
        <v>0</v>
      </c>
      <c r="R513">
        <f t="shared" si="95"/>
        <v>0</v>
      </c>
      <c r="S513">
        <f t="shared" si="96"/>
        <v>0</v>
      </c>
      <c r="T513">
        <f t="shared" si="97"/>
        <v>0</v>
      </c>
    </row>
    <row r="514" spans="1:20" ht="18" customHeight="1">
      <c r="A514" s="508" t="s">
        <v>512</v>
      </c>
      <c r="B514" s="624"/>
      <c r="C514" s="488"/>
      <c r="D514" s="489"/>
      <c r="E514" s="489"/>
      <c r="F514" s="489"/>
      <c r="G514" s="489"/>
      <c r="H514" s="490"/>
      <c r="I514" s="489"/>
      <c r="N514">
        <f t="shared" si="91"/>
        <v>0</v>
      </c>
      <c r="O514">
        <f t="shared" si="92"/>
        <v>0</v>
      </c>
      <c r="P514">
        <f t="shared" si="93"/>
        <v>0</v>
      </c>
      <c r="Q514">
        <f t="shared" si="94"/>
        <v>0</v>
      </c>
      <c r="R514">
        <f t="shared" si="95"/>
        <v>0</v>
      </c>
      <c r="S514">
        <f t="shared" si="96"/>
        <v>0</v>
      </c>
      <c r="T514">
        <f t="shared" si="97"/>
        <v>0</v>
      </c>
    </row>
    <row r="515" spans="1:20" ht="18" customHeight="1">
      <c r="A515" t="s">
        <v>512</v>
      </c>
      <c r="B515" s="624"/>
      <c r="C515" s="489"/>
      <c r="D515" s="489"/>
      <c r="E515" s="489"/>
      <c r="F515" s="489"/>
      <c r="G515" s="489"/>
      <c r="H515" s="490"/>
      <c r="I515" s="489"/>
    </row>
    <row r="516" spans="1:20" ht="18" customHeight="1">
      <c r="A516" t="s">
        <v>512</v>
      </c>
      <c r="B516" s="625"/>
      <c r="C516" s="489"/>
      <c r="D516" s="489"/>
      <c r="E516" s="489"/>
      <c r="F516" s="489"/>
      <c r="G516" s="489"/>
      <c r="H516" s="490"/>
      <c r="I516" s="489"/>
    </row>
    <row r="517" spans="1:20" ht="18" customHeight="1">
      <c r="A517" t="s">
        <v>512</v>
      </c>
      <c r="B517" s="614" t="s">
        <v>254</v>
      </c>
      <c r="C517" s="612"/>
      <c r="D517" s="612"/>
      <c r="E517" s="612"/>
      <c r="F517" s="612"/>
      <c r="G517" s="613"/>
      <c r="H517" s="510">
        <f>SUMIFS($H:$H,$A:$A,"9/6/26 -&gt; 15/6/26",$E:$E,"Income")</f>
        <v>0</v>
      </c>
      <c r="I517" s="252"/>
    </row>
    <row r="518" spans="1:20" ht="18" customHeight="1">
      <c r="A518" t="s">
        <v>512</v>
      </c>
      <c r="B518" s="611" t="s">
        <v>493</v>
      </c>
      <c r="C518" s="612"/>
      <c r="D518" s="612"/>
      <c r="E518" s="612"/>
      <c r="F518" s="612"/>
      <c r="G518" s="613"/>
      <c r="H518" s="509">
        <f>SUMIFS($H:$H,$A:$A,"9/6/26 -&gt; 15/6/26",$E:$E,"Joint Account")</f>
        <v>0</v>
      </c>
      <c r="I518" s="515"/>
    </row>
    <row r="519" spans="1:20" ht="18" customHeight="1">
      <c r="A519" t="s">
        <v>512</v>
      </c>
      <c r="B519" s="611" t="s">
        <v>494</v>
      </c>
      <c r="C519" s="612"/>
      <c r="D519" s="612"/>
      <c r="E519" s="612"/>
      <c r="F519" s="612"/>
      <c r="G519" s="613"/>
      <c r="H519" s="509">
        <f>SUMIFS($H:$H,$A:$A,"9/6/26 -&gt; 15/6/26",$E:$E,"Recurring Expense")</f>
        <v>0</v>
      </c>
      <c r="I519" s="515"/>
    </row>
    <row r="520" spans="1:20" ht="18" customHeight="1">
      <c r="A520" t="s">
        <v>512</v>
      </c>
      <c r="B520" s="611" t="s">
        <v>227</v>
      </c>
      <c r="C520" s="612"/>
      <c r="D520" s="612"/>
      <c r="E520" s="612"/>
      <c r="F520" s="612"/>
      <c r="G520" s="613"/>
      <c r="H520" s="509">
        <f>SUMIFS($H:$H,$A:$A,"9/6/26 -&gt; 15/6/26",$E:$E,"Investment")</f>
        <v>0</v>
      </c>
      <c r="I520" s="515"/>
    </row>
    <row r="521" spans="1:20" ht="18" customHeight="1">
      <c r="A521" t="s">
        <v>512</v>
      </c>
      <c r="B521" s="611" t="s">
        <v>250</v>
      </c>
      <c r="C521" s="612"/>
      <c r="D521" s="612"/>
      <c r="E521" s="612"/>
      <c r="F521" s="612"/>
      <c r="G521" s="613"/>
      <c r="H521" s="509">
        <f>SUMIFS($H:$H,$A:$A,"9/6/26 -&gt; 15/6/26",$E:$E,"Saving Allocation")</f>
        <v>0</v>
      </c>
      <c r="I521" s="515"/>
    </row>
    <row r="522" spans="1:20" ht="18" customHeight="1">
      <c r="A522" t="s">
        <v>512</v>
      </c>
      <c r="B522" s="611" t="s">
        <v>496</v>
      </c>
      <c r="C522" s="612"/>
      <c r="D522" s="612"/>
      <c r="E522" s="612"/>
      <c r="F522" s="612"/>
      <c r="G522" s="613"/>
      <c r="H522" s="509">
        <f>SUMIFS($H:$H,$A:$A,"9/6/26 -&gt; 15/6/26",$E:$E,"Personal Expense")</f>
        <v>0</v>
      </c>
      <c r="I522" s="515"/>
    </row>
    <row r="523" spans="1:20" ht="18" customHeight="1">
      <c r="A523" t="s">
        <v>512</v>
      </c>
      <c r="B523" s="626" t="s">
        <v>253</v>
      </c>
      <c r="C523" s="612"/>
      <c r="D523" s="612"/>
      <c r="E523" s="612"/>
      <c r="F523" s="612"/>
      <c r="G523" s="613"/>
      <c r="H523" s="513">
        <f>SUMIFS($H:$H,$A:$A,"9/6/26 -&gt; 15/6/26",$E:$E,"Joint Account")+SUMIFS($H:$H,$A:$A,"9/6/26 -&gt; 15/6/26",$E:$E,"Recurring Expense")+SUMIFS($H:$H,$A:$A,"9/6/26 -&gt; 15/6/26",$E:$E,"Investment")+SUMIFS($H:$H,$A:$A,"9/6/26 -&gt; 15/6/26",$E:$E,"Saving Allocation")+SUMIFS($H:$H,$A:$A,"9/6/26 -&gt; 15/6/26",$E:$E,"Personal Expense")+SUMIFS($H:$H,$A:$A,"9/6/26 -&gt; 15/6/26",$E:$E,"Debt Repayment")</f>
        <v>0</v>
      </c>
      <c r="I523" s="514"/>
    </row>
    <row r="524" spans="1:20" ht="18" customHeight="1">
      <c r="A524" t="s">
        <v>512</v>
      </c>
      <c r="B524" s="617" t="s">
        <v>497</v>
      </c>
      <c r="C524" s="618"/>
      <c r="D524" s="618"/>
      <c r="E524" s="618"/>
      <c r="F524" s="618"/>
      <c r="G524" s="619"/>
      <c r="H524" s="586">
        <f>SUMIFS($H:$H,$A:$A,"9/6/26 -&gt; 15/6/26",$E:$E,"Income")-SUMIFS($H:$H,$A:$A,"9/6/26 -&gt; 15/6/26",$E:$E,"Joint Account")-SUMIFS($H:$H,$A:$A,"9/6/26 -&gt; 15/6/26",$E:$E,"Recurring Expense")-SUMIFS($H:$H,$A:$A,"9/6/26 -&gt; 15/6/26",$E:$E,"Investment")-SUMIFS($H:$H,$A:$A,"9/6/26 -&gt; 15/6/26",$E:$E,"Saving Allocation")-SUMIFS($H:$H,$A:$A,"9/6/26 -&gt; 15/6/26",$E:$E,"Personal Expense")-SUMIFS($H:$H,$A:$A,"9/6/26 -&gt; 15/6/26",$E:$E,"Debt Repayment")</f>
        <v>0</v>
      </c>
      <c r="I524" s="514"/>
    </row>
    <row r="525" spans="1:20" ht="18" customHeight="1">
      <c r="B525" s="626" t="s">
        <v>554</v>
      </c>
      <c r="C525" s="612"/>
      <c r="D525" s="612"/>
      <c r="E525" s="612"/>
      <c r="F525" s="612"/>
      <c r="G525" s="613"/>
      <c r="H525" s="513">
        <f>SUMIFS($H:$H,$A:$A,"9/6/26 -&gt; 15/6/26",$E:$E,"Income")-SUMIFS($H:$H,$A:$A,"9/6/26 -&gt; 15/6/26",$E:$E,"Joint Account")-SUMIFS($H:$H,$A:$A,"9/6/26 -&gt; 15/6/26",$E:$E,"Recurring Expense")-SUMIFS($H:$H,$A:$A,"9/6/26 -&gt; 15/6/26",$E:$E,"Investment")-SUMIFS($H:$H,$A:$A,"9/6/26 -&gt; 15/6/26",$E:$E,"Personal Expense")-SUMIFS($H:$H,$A:$A,"9/6/26 -&gt; 15/6/26",$E:$E,"Debt Repayment")</f>
        <v>0</v>
      </c>
      <c r="I525" s="514"/>
    </row>
    <row r="526" spans="1:20" ht="18" customHeight="1">
      <c r="B526" s="499"/>
      <c r="C526" s="499"/>
      <c r="D526" s="499"/>
      <c r="E526" s="499"/>
      <c r="F526" s="499"/>
      <c r="G526" s="499"/>
      <c r="H526" s="499"/>
      <c r="I526" s="499"/>
    </row>
    <row r="527" spans="1:20" ht="18">
      <c r="B527" s="502"/>
      <c r="C527" s="502"/>
      <c r="D527" s="502"/>
      <c r="E527" s="502"/>
      <c r="F527" s="502"/>
      <c r="G527" s="502"/>
      <c r="H527" s="502"/>
      <c r="I527" s="502"/>
    </row>
    <row r="552" spans="2:13" ht="20">
      <c r="B552" s="610" t="s">
        <v>482</v>
      </c>
      <c r="C552" s="610"/>
      <c r="D552" s="610"/>
      <c r="E552" s="610"/>
      <c r="F552" s="610"/>
      <c r="G552" s="610"/>
      <c r="H552" s="610"/>
      <c r="I552" s="610"/>
      <c r="J552" s="610"/>
      <c r="K552" s="610"/>
      <c r="L552" s="610"/>
      <c r="M552" s="610"/>
    </row>
    <row r="553" spans="2:13" ht="20">
      <c r="B553" s="365" t="s">
        <v>195</v>
      </c>
      <c r="C553" s="365" t="s">
        <v>207</v>
      </c>
      <c r="D553" s="365" t="s">
        <v>476</v>
      </c>
      <c r="E553" s="365" t="s">
        <v>499</v>
      </c>
      <c r="F553" s="365" t="s">
        <v>498</v>
      </c>
      <c r="G553" s="366" t="s">
        <v>211</v>
      </c>
      <c r="H553" s="366" t="s">
        <v>479</v>
      </c>
      <c r="I553" s="365" t="s">
        <v>478</v>
      </c>
      <c r="J553" s="365" t="s">
        <v>477</v>
      </c>
      <c r="K553" s="366" t="s">
        <v>480</v>
      </c>
      <c r="L553" s="366" t="s">
        <v>481</v>
      </c>
      <c r="M553" s="366" t="s">
        <v>555</v>
      </c>
    </row>
    <row r="554" spans="2:13" ht="20">
      <c r="B554" s="367" t="s">
        <v>98</v>
      </c>
      <c r="C554" s="368">
        <f>SUMIFS($H:$H,$A:$A,$B554,$E:$E,"Income")</f>
        <v>1316.75</v>
      </c>
      <c r="D554" s="504">
        <f t="shared" ref="D554:D567" si="98">SUM(E554:F554)</f>
        <v>408.39</v>
      </c>
      <c r="E554" s="503">
        <f t="shared" ref="E554:E576" si="99">SUMIFS($H:$H,$A:$A,B554,$E:$E,"Personal Expense")</f>
        <v>243.4</v>
      </c>
      <c r="F554" s="503">
        <f t="shared" ref="F554:F576" si="100">SUMIFS($H:$H,$A:$A,B554,$E:$E,"Recurring Expense")</f>
        <v>164.99</v>
      </c>
      <c r="G554" s="369">
        <f t="shared" ref="G554:G576" si="101">SUMIFS($H:$H,$A:$A,B554,$E:$E,"Joint Account")</f>
        <v>200</v>
      </c>
      <c r="H554" s="369">
        <f t="shared" ref="H554:H576" si="102">SUMIFS($H:$H,$A:$A,B554,$E:$E,"Investment")</f>
        <v>15</v>
      </c>
      <c r="I554" s="369">
        <f t="shared" ref="I554:I576" si="103">SUMIFS($H:$H,$A:$A,B554,$E:$E,"Saving Allocation")</f>
        <v>200</v>
      </c>
      <c r="J554" s="369">
        <f t="shared" ref="J554:J576" si="104">SUMIFS($H:$H,$A:$A,B554,$E:$E,"Internal Transfer")</f>
        <v>105</v>
      </c>
      <c r="K554" s="369">
        <f t="shared" ref="K554:K576" si="105">SUMIFS($H:$H,$A:$A,B554,$E:$E,"Debt Repayment")</f>
        <v>375</v>
      </c>
      <c r="L554" s="369">
        <f t="shared" ref="L554:L568" si="106">C554-D554-G554-H554-I554-K554</f>
        <v>118.36000000000001</v>
      </c>
      <c r="M554" s="369">
        <f>L554+I554</f>
        <v>318.36</v>
      </c>
    </row>
    <row r="555" spans="2:13" ht="20">
      <c r="B555" s="367" t="s">
        <v>108</v>
      </c>
      <c r="C555" s="368">
        <f t="shared" ref="C555:C576" si="107">SUMIFS($H:$H,$A:$A,B555,$E:$E,"Income")</f>
        <v>1078.75</v>
      </c>
      <c r="D555" s="504">
        <f t="shared" si="98"/>
        <v>237.63</v>
      </c>
      <c r="E555" s="503">
        <f t="shared" si="99"/>
        <v>87.63</v>
      </c>
      <c r="F555" s="503">
        <f t="shared" si="100"/>
        <v>150</v>
      </c>
      <c r="G555" s="369">
        <f t="shared" si="101"/>
        <v>250</v>
      </c>
      <c r="H555" s="369">
        <f t="shared" si="102"/>
        <v>15</v>
      </c>
      <c r="I555" s="369">
        <f t="shared" si="103"/>
        <v>130</v>
      </c>
      <c r="J555" s="369">
        <f t="shared" si="104"/>
        <v>0</v>
      </c>
      <c r="K555" s="369">
        <f t="shared" si="105"/>
        <v>375</v>
      </c>
      <c r="L555" s="369">
        <f t="shared" si="106"/>
        <v>71.12</v>
      </c>
      <c r="M555" s="369">
        <f t="shared" ref="M555:M576" si="108">L555+I555</f>
        <v>201.12</v>
      </c>
    </row>
    <row r="556" spans="2:13" ht="20">
      <c r="B556" s="367" t="s">
        <v>112</v>
      </c>
      <c r="C556" s="368">
        <f t="shared" si="107"/>
        <v>1345.75</v>
      </c>
      <c r="D556" s="504">
        <f t="shared" si="98"/>
        <v>275.92</v>
      </c>
      <c r="E556" s="503">
        <f t="shared" si="99"/>
        <v>125.92</v>
      </c>
      <c r="F556" s="503">
        <f t="shared" si="100"/>
        <v>150</v>
      </c>
      <c r="G556" s="369">
        <f t="shared" si="101"/>
        <v>300</v>
      </c>
      <c r="H556" s="369">
        <f t="shared" si="102"/>
        <v>15</v>
      </c>
      <c r="I556" s="369">
        <f t="shared" si="103"/>
        <v>0</v>
      </c>
      <c r="J556" s="369">
        <f t="shared" si="104"/>
        <v>0</v>
      </c>
      <c r="K556" s="369">
        <f t="shared" si="105"/>
        <v>510</v>
      </c>
      <c r="L556" s="369">
        <f t="shared" si="106"/>
        <v>244.82999999999993</v>
      </c>
      <c r="M556" s="369">
        <f t="shared" si="108"/>
        <v>244.82999999999993</v>
      </c>
    </row>
    <row r="557" spans="2:13" ht="20">
      <c r="B557" s="367" t="s">
        <v>159</v>
      </c>
      <c r="C557" s="368">
        <f t="shared" si="107"/>
        <v>1192.92</v>
      </c>
      <c r="D557" s="504">
        <f t="shared" si="98"/>
        <v>304.5</v>
      </c>
      <c r="E557" s="503">
        <f t="shared" si="99"/>
        <v>4.5</v>
      </c>
      <c r="F557" s="503">
        <f t="shared" si="100"/>
        <v>300</v>
      </c>
      <c r="G557" s="369">
        <f t="shared" si="101"/>
        <v>400</v>
      </c>
      <c r="H557" s="369">
        <f t="shared" si="102"/>
        <v>0</v>
      </c>
      <c r="I557" s="369">
        <f t="shared" si="103"/>
        <v>0</v>
      </c>
      <c r="J557" s="369">
        <f t="shared" si="104"/>
        <v>0</v>
      </c>
      <c r="K557" s="369">
        <f t="shared" si="105"/>
        <v>750</v>
      </c>
      <c r="L557" s="369">
        <f t="shared" si="106"/>
        <v>-261.57999999999993</v>
      </c>
      <c r="M557" s="369">
        <f t="shared" si="108"/>
        <v>-261.57999999999993</v>
      </c>
    </row>
    <row r="558" spans="2:13" ht="20">
      <c r="B558" s="367" t="s">
        <v>160</v>
      </c>
      <c r="C558" s="368">
        <f t="shared" si="107"/>
        <v>0</v>
      </c>
      <c r="D558" s="504">
        <f t="shared" si="98"/>
        <v>409.44000000000005</v>
      </c>
      <c r="E558" s="503">
        <f t="shared" si="99"/>
        <v>244.45000000000002</v>
      </c>
      <c r="F558" s="503">
        <f t="shared" si="100"/>
        <v>164.99</v>
      </c>
      <c r="G558" s="369">
        <f t="shared" si="101"/>
        <v>200</v>
      </c>
      <c r="H558" s="369">
        <f t="shared" si="102"/>
        <v>0</v>
      </c>
      <c r="I558" s="369">
        <f t="shared" si="103"/>
        <v>0</v>
      </c>
      <c r="J558" s="369">
        <f t="shared" si="104"/>
        <v>0</v>
      </c>
      <c r="K558" s="369">
        <f t="shared" si="105"/>
        <v>0</v>
      </c>
      <c r="L558" s="369">
        <f t="shared" si="106"/>
        <v>-609.44000000000005</v>
      </c>
      <c r="M558" s="369">
        <f t="shared" si="108"/>
        <v>-609.44000000000005</v>
      </c>
    </row>
    <row r="559" spans="2:13" ht="20">
      <c r="B559" s="367" t="s">
        <v>187</v>
      </c>
      <c r="C559" s="368">
        <f t="shared" si="107"/>
        <v>761.42</v>
      </c>
      <c r="D559" s="504">
        <f t="shared" si="98"/>
        <v>388.55</v>
      </c>
      <c r="E559" s="503">
        <f t="shared" si="99"/>
        <v>137.56</v>
      </c>
      <c r="F559" s="503">
        <f t="shared" si="100"/>
        <v>250.99</v>
      </c>
      <c r="G559" s="369">
        <f t="shared" si="101"/>
        <v>200</v>
      </c>
      <c r="H559" s="369">
        <f t="shared" si="102"/>
        <v>0</v>
      </c>
      <c r="I559" s="369">
        <f t="shared" si="103"/>
        <v>0</v>
      </c>
      <c r="J559" s="369">
        <f t="shared" si="104"/>
        <v>0</v>
      </c>
      <c r="K559" s="369">
        <f t="shared" si="105"/>
        <v>375</v>
      </c>
      <c r="L559" s="369">
        <f t="shared" si="106"/>
        <v>-202.13000000000005</v>
      </c>
      <c r="M559" s="369">
        <f t="shared" si="108"/>
        <v>-202.13000000000005</v>
      </c>
    </row>
    <row r="560" spans="2:13" ht="20">
      <c r="B560" s="367" t="s">
        <v>188</v>
      </c>
      <c r="C560" s="368">
        <f t="shared" si="107"/>
        <v>1026</v>
      </c>
      <c r="D560" s="504">
        <f t="shared" si="98"/>
        <v>335.37</v>
      </c>
      <c r="E560" s="503">
        <f t="shared" si="99"/>
        <v>185.37</v>
      </c>
      <c r="F560" s="503">
        <f t="shared" si="100"/>
        <v>150</v>
      </c>
      <c r="G560" s="369">
        <f t="shared" si="101"/>
        <v>75</v>
      </c>
      <c r="H560" s="369">
        <f t="shared" si="102"/>
        <v>15</v>
      </c>
      <c r="I560" s="369">
        <f t="shared" si="103"/>
        <v>630</v>
      </c>
      <c r="J560" s="369">
        <f t="shared" si="104"/>
        <v>0</v>
      </c>
      <c r="K560" s="369">
        <f t="shared" si="105"/>
        <v>0</v>
      </c>
      <c r="L560" s="369">
        <f t="shared" si="106"/>
        <v>-29.370000000000005</v>
      </c>
      <c r="M560" s="369">
        <f t="shared" si="108"/>
        <v>600.63</v>
      </c>
    </row>
    <row r="561" spans="2:13" ht="20">
      <c r="B561" s="367" t="s">
        <v>243</v>
      </c>
      <c r="C561" s="368">
        <f t="shared" si="107"/>
        <v>1057.92</v>
      </c>
      <c r="D561" s="504">
        <f t="shared" si="98"/>
        <v>216.65</v>
      </c>
      <c r="E561" s="503">
        <f t="shared" si="99"/>
        <v>43.66</v>
      </c>
      <c r="F561" s="503">
        <f t="shared" si="100"/>
        <v>172.99</v>
      </c>
      <c r="G561" s="369">
        <f t="shared" si="101"/>
        <v>200</v>
      </c>
      <c r="H561" s="369">
        <f t="shared" si="102"/>
        <v>15</v>
      </c>
      <c r="I561" s="369">
        <f t="shared" si="103"/>
        <v>339</v>
      </c>
      <c r="J561" s="369">
        <f t="shared" si="104"/>
        <v>0</v>
      </c>
      <c r="K561" s="369">
        <f t="shared" si="105"/>
        <v>0</v>
      </c>
      <c r="L561" s="369">
        <f t="shared" si="106"/>
        <v>287.2700000000001</v>
      </c>
      <c r="M561" s="369">
        <f t="shared" si="108"/>
        <v>626.2700000000001</v>
      </c>
    </row>
    <row r="562" spans="2:13" ht="20">
      <c r="B562" s="367" t="s">
        <v>255</v>
      </c>
      <c r="C562" s="368">
        <f t="shared" si="107"/>
        <v>1264.5</v>
      </c>
      <c r="D562" s="504">
        <f t="shared" si="98"/>
        <v>745.39999999999986</v>
      </c>
      <c r="E562" s="503">
        <f t="shared" si="99"/>
        <v>565.45999999999992</v>
      </c>
      <c r="F562" s="503">
        <f t="shared" si="100"/>
        <v>179.94</v>
      </c>
      <c r="G562" s="369">
        <f t="shared" si="101"/>
        <v>500</v>
      </c>
      <c r="H562" s="369">
        <f t="shared" si="102"/>
        <v>15</v>
      </c>
      <c r="I562" s="369">
        <f t="shared" si="103"/>
        <v>645</v>
      </c>
      <c r="J562" s="369">
        <f t="shared" si="104"/>
        <v>51</v>
      </c>
      <c r="K562" s="369">
        <f t="shared" si="105"/>
        <v>0</v>
      </c>
      <c r="L562" s="369">
        <f t="shared" si="106"/>
        <v>-640.89999999999986</v>
      </c>
      <c r="M562" s="369">
        <f t="shared" si="108"/>
        <v>4.1000000000001364</v>
      </c>
    </row>
    <row r="563" spans="2:13" ht="20">
      <c r="B563" s="367" t="s">
        <v>316</v>
      </c>
      <c r="C563" s="368">
        <f t="shared" si="107"/>
        <v>1580.19</v>
      </c>
      <c r="D563" s="504">
        <f t="shared" si="98"/>
        <v>285.63</v>
      </c>
      <c r="E563" s="503">
        <f t="shared" si="99"/>
        <v>89.64</v>
      </c>
      <c r="F563" s="503">
        <f t="shared" si="100"/>
        <v>195.99</v>
      </c>
      <c r="G563" s="369">
        <f t="shared" si="101"/>
        <v>350</v>
      </c>
      <c r="H563" s="369">
        <f t="shared" si="102"/>
        <v>15</v>
      </c>
      <c r="I563" s="369">
        <f t="shared" si="103"/>
        <v>1200</v>
      </c>
      <c r="J563" s="369">
        <f t="shared" si="104"/>
        <v>0</v>
      </c>
      <c r="K563" s="369">
        <f t="shared" si="105"/>
        <v>0</v>
      </c>
      <c r="L563" s="369">
        <f t="shared" si="106"/>
        <v>-270.44000000000005</v>
      </c>
      <c r="M563" s="369">
        <f t="shared" si="108"/>
        <v>929.56</v>
      </c>
    </row>
    <row r="564" spans="2:13" ht="20">
      <c r="B564" s="367" t="s">
        <v>350</v>
      </c>
      <c r="C564" s="368">
        <f t="shared" si="107"/>
        <v>1202.58</v>
      </c>
      <c r="D564" s="504">
        <f t="shared" si="98"/>
        <v>309.13</v>
      </c>
      <c r="E564" s="503">
        <f t="shared" si="99"/>
        <v>104.13000000000001</v>
      </c>
      <c r="F564" s="503">
        <f t="shared" si="100"/>
        <v>205</v>
      </c>
      <c r="G564" s="369">
        <f t="shared" si="101"/>
        <v>150</v>
      </c>
      <c r="H564" s="369">
        <f t="shared" si="102"/>
        <v>115</v>
      </c>
      <c r="I564" s="369">
        <f t="shared" si="103"/>
        <v>600</v>
      </c>
      <c r="J564" s="369">
        <f t="shared" si="104"/>
        <v>100</v>
      </c>
      <c r="K564" s="369">
        <f t="shared" si="105"/>
        <v>0</v>
      </c>
      <c r="L564" s="369">
        <f t="shared" si="106"/>
        <v>28.449999999999932</v>
      </c>
      <c r="M564" s="369">
        <f t="shared" si="108"/>
        <v>628.44999999999993</v>
      </c>
    </row>
    <row r="565" spans="2:13" ht="20">
      <c r="B565" s="367" t="s">
        <v>372</v>
      </c>
      <c r="C565" s="368">
        <f t="shared" si="107"/>
        <v>1004.25</v>
      </c>
      <c r="D565" s="504">
        <f t="shared" si="98"/>
        <v>292.61</v>
      </c>
      <c r="E565" s="503">
        <f t="shared" si="99"/>
        <v>142.61000000000001</v>
      </c>
      <c r="F565" s="503">
        <f t="shared" si="100"/>
        <v>150</v>
      </c>
      <c r="G565" s="369">
        <f t="shared" si="101"/>
        <v>275</v>
      </c>
      <c r="H565" s="369">
        <f t="shared" si="102"/>
        <v>115</v>
      </c>
      <c r="I565" s="369">
        <f t="shared" si="103"/>
        <v>500</v>
      </c>
      <c r="J565" s="369">
        <f t="shared" si="104"/>
        <v>100</v>
      </c>
      <c r="K565" s="369">
        <f t="shared" si="105"/>
        <v>0</v>
      </c>
      <c r="L565" s="369">
        <f t="shared" si="106"/>
        <v>-178.36</v>
      </c>
      <c r="M565" s="369">
        <f t="shared" si="108"/>
        <v>321.64</v>
      </c>
    </row>
    <row r="566" spans="2:13" ht="20">
      <c r="B566" s="367" t="s">
        <v>448</v>
      </c>
      <c r="C566" s="368">
        <f t="shared" si="107"/>
        <v>1259.67</v>
      </c>
      <c r="D566" s="504">
        <f t="shared" si="98"/>
        <v>274.63</v>
      </c>
      <c r="E566" s="503">
        <f t="shared" si="99"/>
        <v>67.64</v>
      </c>
      <c r="F566" s="503">
        <f t="shared" si="100"/>
        <v>206.99</v>
      </c>
      <c r="G566" s="369">
        <f t="shared" si="101"/>
        <v>157.74</v>
      </c>
      <c r="H566" s="369">
        <f t="shared" si="102"/>
        <v>115</v>
      </c>
      <c r="I566" s="369">
        <f t="shared" si="103"/>
        <v>600</v>
      </c>
      <c r="J566" s="369">
        <f t="shared" si="104"/>
        <v>100</v>
      </c>
      <c r="K566" s="369">
        <f t="shared" si="105"/>
        <v>0</v>
      </c>
      <c r="L566" s="369">
        <f t="shared" si="106"/>
        <v>112.30000000000007</v>
      </c>
      <c r="M566" s="369">
        <f t="shared" si="108"/>
        <v>712.30000000000007</v>
      </c>
    </row>
    <row r="567" spans="2:13" ht="20">
      <c r="B567" s="367" t="s">
        <v>506</v>
      </c>
      <c r="C567" s="368">
        <f t="shared" si="107"/>
        <v>1256.75</v>
      </c>
      <c r="D567" s="504">
        <f t="shared" si="98"/>
        <v>199.93</v>
      </c>
      <c r="E567" s="503">
        <f t="shared" si="99"/>
        <v>34.94</v>
      </c>
      <c r="F567" s="503">
        <f t="shared" si="100"/>
        <v>164.99</v>
      </c>
      <c r="G567" s="369">
        <f t="shared" si="101"/>
        <v>350</v>
      </c>
      <c r="H567" s="369">
        <f t="shared" si="102"/>
        <v>50</v>
      </c>
      <c r="I567" s="369">
        <f t="shared" si="103"/>
        <v>772.03</v>
      </c>
      <c r="J567" s="369">
        <f t="shared" si="104"/>
        <v>55.5</v>
      </c>
      <c r="K567" s="369">
        <f t="shared" si="105"/>
        <v>0</v>
      </c>
      <c r="L567" s="369">
        <f t="shared" si="106"/>
        <v>-115.21000000000004</v>
      </c>
      <c r="M567" s="369">
        <f t="shared" si="108"/>
        <v>656.81999999999994</v>
      </c>
    </row>
    <row r="568" spans="2:13" ht="20">
      <c r="B568" s="367" t="s">
        <v>511</v>
      </c>
      <c r="C568" s="368">
        <f t="shared" si="107"/>
        <v>1224.83</v>
      </c>
      <c r="D568" s="504">
        <f t="shared" ref="D568" si="109">SUM(E568:F568)</f>
        <v>336.46000000000004</v>
      </c>
      <c r="E568" s="503">
        <f t="shared" si="99"/>
        <v>85.47</v>
      </c>
      <c r="F568" s="503">
        <f t="shared" si="100"/>
        <v>250.99</v>
      </c>
      <c r="G568" s="369">
        <f t="shared" si="101"/>
        <v>125</v>
      </c>
      <c r="H568" s="369">
        <f t="shared" si="102"/>
        <v>50</v>
      </c>
      <c r="I568" s="369">
        <f t="shared" si="103"/>
        <v>756.41</v>
      </c>
      <c r="J568" s="369">
        <f t="shared" si="104"/>
        <v>0</v>
      </c>
      <c r="K568" s="369">
        <f t="shared" si="105"/>
        <v>0</v>
      </c>
      <c r="L568" s="369">
        <f t="shared" si="106"/>
        <v>-43.040000000000077</v>
      </c>
      <c r="M568" s="369">
        <f t="shared" si="108"/>
        <v>713.36999999999989</v>
      </c>
    </row>
    <row r="569" spans="2:13" ht="20">
      <c r="B569" s="367" t="s">
        <v>516</v>
      </c>
      <c r="C569" s="368">
        <f t="shared" si="107"/>
        <v>1162.92</v>
      </c>
      <c r="D569" s="504">
        <f t="shared" ref="D569:D576" si="110">SUM(E569:F569)</f>
        <v>284.35000000000002</v>
      </c>
      <c r="E569" s="503">
        <f t="shared" si="99"/>
        <v>134.35</v>
      </c>
      <c r="F569" s="503">
        <f t="shared" si="100"/>
        <v>150</v>
      </c>
      <c r="G569" s="369">
        <f t="shared" si="101"/>
        <v>400</v>
      </c>
      <c r="H569" s="369">
        <f t="shared" si="102"/>
        <v>50</v>
      </c>
      <c r="I569" s="369">
        <f t="shared" si="103"/>
        <v>750</v>
      </c>
      <c r="J569" s="369">
        <f t="shared" si="104"/>
        <v>0</v>
      </c>
      <c r="K569" s="369">
        <f t="shared" si="105"/>
        <v>0</v>
      </c>
      <c r="L569" s="369">
        <f t="shared" ref="L569:L576" si="111">C569-D569-G569-H569-I569-K569</f>
        <v>-321.42999999999995</v>
      </c>
      <c r="M569" s="369">
        <f t="shared" si="108"/>
        <v>428.57000000000005</v>
      </c>
    </row>
    <row r="570" spans="2:13" ht="20">
      <c r="B570" s="367" t="s">
        <v>515</v>
      </c>
      <c r="C570" s="368">
        <f t="shared" si="107"/>
        <v>0</v>
      </c>
      <c r="D570" s="504">
        <f t="shared" si="110"/>
        <v>0</v>
      </c>
      <c r="E570" s="503">
        <f t="shared" si="99"/>
        <v>0</v>
      </c>
      <c r="F570" s="503">
        <f t="shared" si="100"/>
        <v>0</v>
      </c>
      <c r="G570" s="369">
        <f t="shared" si="101"/>
        <v>0</v>
      </c>
      <c r="H570" s="369">
        <f t="shared" si="102"/>
        <v>0</v>
      </c>
      <c r="I570" s="369">
        <f t="shared" si="103"/>
        <v>0</v>
      </c>
      <c r="J570" s="369">
        <f t="shared" si="104"/>
        <v>0</v>
      </c>
      <c r="K570" s="369">
        <f t="shared" si="105"/>
        <v>0</v>
      </c>
      <c r="L570" s="369">
        <f t="shared" si="111"/>
        <v>0</v>
      </c>
      <c r="M570" s="369">
        <f t="shared" si="108"/>
        <v>0</v>
      </c>
    </row>
    <row r="571" spans="2:13" ht="20">
      <c r="B571" s="367" t="s">
        <v>514</v>
      </c>
      <c r="C571" s="368">
        <f t="shared" si="107"/>
        <v>0</v>
      </c>
      <c r="D571" s="504">
        <f t="shared" si="110"/>
        <v>0</v>
      </c>
      <c r="E571" s="503">
        <f t="shared" si="99"/>
        <v>0</v>
      </c>
      <c r="F571" s="503">
        <f t="shared" si="100"/>
        <v>0</v>
      </c>
      <c r="G571" s="369">
        <f t="shared" si="101"/>
        <v>0</v>
      </c>
      <c r="H571" s="369">
        <f t="shared" si="102"/>
        <v>0</v>
      </c>
      <c r="I571" s="369">
        <f t="shared" si="103"/>
        <v>0</v>
      </c>
      <c r="J571" s="369">
        <f t="shared" si="104"/>
        <v>0</v>
      </c>
      <c r="K571" s="369">
        <f t="shared" si="105"/>
        <v>0</v>
      </c>
      <c r="L571" s="369">
        <f t="shared" si="111"/>
        <v>0</v>
      </c>
      <c r="M571" s="369">
        <f t="shared" si="108"/>
        <v>0</v>
      </c>
    </row>
    <row r="572" spans="2:13" ht="20">
      <c r="B572" s="367" t="s">
        <v>513</v>
      </c>
      <c r="C572" s="368">
        <f t="shared" si="107"/>
        <v>0</v>
      </c>
      <c r="D572" s="504">
        <f t="shared" si="110"/>
        <v>0</v>
      </c>
      <c r="E572" s="503">
        <f t="shared" si="99"/>
        <v>0</v>
      </c>
      <c r="F572" s="503">
        <f t="shared" si="100"/>
        <v>0</v>
      </c>
      <c r="G572" s="369">
        <f t="shared" si="101"/>
        <v>0</v>
      </c>
      <c r="H572" s="369">
        <f t="shared" si="102"/>
        <v>0</v>
      </c>
      <c r="I572" s="369">
        <f t="shared" si="103"/>
        <v>0</v>
      </c>
      <c r="J572" s="369">
        <f t="shared" si="104"/>
        <v>0</v>
      </c>
      <c r="K572" s="369">
        <f t="shared" si="105"/>
        <v>0</v>
      </c>
      <c r="L572" s="369">
        <f t="shared" si="111"/>
        <v>0</v>
      </c>
      <c r="M572" s="369">
        <f t="shared" si="108"/>
        <v>0</v>
      </c>
    </row>
    <row r="573" spans="2:13" ht="20">
      <c r="B573" s="367" t="s">
        <v>512</v>
      </c>
      <c r="C573" s="368">
        <f t="shared" si="107"/>
        <v>0</v>
      </c>
      <c r="D573" s="504">
        <f t="shared" si="110"/>
        <v>0</v>
      </c>
      <c r="E573" s="503">
        <f t="shared" si="99"/>
        <v>0</v>
      </c>
      <c r="F573" s="503">
        <f t="shared" si="100"/>
        <v>0</v>
      </c>
      <c r="G573" s="369">
        <f t="shared" si="101"/>
        <v>0</v>
      </c>
      <c r="H573" s="369">
        <f t="shared" si="102"/>
        <v>0</v>
      </c>
      <c r="I573" s="369">
        <f t="shared" si="103"/>
        <v>0</v>
      </c>
      <c r="J573" s="369">
        <f t="shared" si="104"/>
        <v>0</v>
      </c>
      <c r="K573" s="369">
        <f t="shared" si="105"/>
        <v>0</v>
      </c>
      <c r="L573" s="369">
        <f t="shared" si="111"/>
        <v>0</v>
      </c>
      <c r="M573" s="369">
        <f t="shared" si="108"/>
        <v>0</v>
      </c>
    </row>
    <row r="574" spans="2:13" ht="20">
      <c r="B574" s="367" t="s">
        <v>500</v>
      </c>
      <c r="C574" s="368">
        <f t="shared" si="107"/>
        <v>0</v>
      </c>
      <c r="D574" s="504">
        <f t="shared" si="110"/>
        <v>0</v>
      </c>
      <c r="E574" s="503">
        <f t="shared" si="99"/>
        <v>0</v>
      </c>
      <c r="F574" s="503">
        <f t="shared" si="100"/>
        <v>0</v>
      </c>
      <c r="G574" s="369">
        <f t="shared" si="101"/>
        <v>0</v>
      </c>
      <c r="H574" s="369">
        <f t="shared" si="102"/>
        <v>0</v>
      </c>
      <c r="I574" s="369">
        <f t="shared" si="103"/>
        <v>0</v>
      </c>
      <c r="J574" s="369">
        <f t="shared" si="104"/>
        <v>0</v>
      </c>
      <c r="K574" s="369">
        <f t="shared" si="105"/>
        <v>0</v>
      </c>
      <c r="L574" s="369">
        <f t="shared" si="111"/>
        <v>0</v>
      </c>
      <c r="M574" s="369">
        <f t="shared" si="108"/>
        <v>0</v>
      </c>
    </row>
    <row r="575" spans="2:13" ht="20">
      <c r="B575" s="367" t="s">
        <v>501</v>
      </c>
      <c r="C575" s="368">
        <f t="shared" si="107"/>
        <v>0</v>
      </c>
      <c r="D575" s="504">
        <f t="shared" si="110"/>
        <v>0</v>
      </c>
      <c r="E575" s="503">
        <f t="shared" si="99"/>
        <v>0</v>
      </c>
      <c r="F575" s="503">
        <f t="shared" si="100"/>
        <v>0</v>
      </c>
      <c r="G575" s="369">
        <f t="shared" si="101"/>
        <v>0</v>
      </c>
      <c r="H575" s="369">
        <f t="shared" si="102"/>
        <v>0</v>
      </c>
      <c r="I575" s="369">
        <f t="shared" si="103"/>
        <v>0</v>
      </c>
      <c r="J575" s="369">
        <f t="shared" si="104"/>
        <v>0</v>
      </c>
      <c r="K575" s="369">
        <f t="shared" si="105"/>
        <v>0</v>
      </c>
      <c r="L575" s="369">
        <f t="shared" si="111"/>
        <v>0</v>
      </c>
      <c r="M575" s="369">
        <f t="shared" si="108"/>
        <v>0</v>
      </c>
    </row>
    <row r="576" spans="2:13" ht="20">
      <c r="B576" s="367" t="s">
        <v>502</v>
      </c>
      <c r="C576" s="368">
        <f t="shared" si="107"/>
        <v>0</v>
      </c>
      <c r="D576" s="504">
        <f t="shared" si="110"/>
        <v>0</v>
      </c>
      <c r="E576" s="503">
        <f t="shared" si="99"/>
        <v>0</v>
      </c>
      <c r="F576" s="503">
        <f t="shared" si="100"/>
        <v>0</v>
      </c>
      <c r="G576" s="369">
        <f t="shared" si="101"/>
        <v>0</v>
      </c>
      <c r="H576" s="369">
        <f t="shared" si="102"/>
        <v>0</v>
      </c>
      <c r="I576" s="369">
        <f t="shared" si="103"/>
        <v>0</v>
      </c>
      <c r="J576" s="369">
        <f t="shared" si="104"/>
        <v>0</v>
      </c>
      <c r="K576" s="369">
        <f t="shared" si="105"/>
        <v>0</v>
      </c>
      <c r="L576" s="369">
        <f t="shared" si="111"/>
        <v>0</v>
      </c>
      <c r="M576" s="369">
        <f t="shared" si="108"/>
        <v>0</v>
      </c>
    </row>
    <row r="577" spans="2:13" ht="20">
      <c r="B577" s="370" t="s">
        <v>489</v>
      </c>
      <c r="C577" s="371">
        <f t="shared" ref="C577:H577" si="112">AVERAGEIF(C554:C576,"&gt;0")</f>
        <v>1182.3466666666666</v>
      </c>
      <c r="D577" s="372">
        <f>AVERAGEIF(D554:D576,"&gt;0")</f>
        <v>331.53687500000007</v>
      </c>
      <c r="E577" s="372">
        <f t="shared" si="112"/>
        <v>143.54562499999997</v>
      </c>
      <c r="F577" s="372">
        <f t="shared" si="112"/>
        <v>187.99124999999998</v>
      </c>
      <c r="G577" s="372">
        <f t="shared" si="112"/>
        <v>258.29624999999999</v>
      </c>
      <c r="H577" s="372">
        <f t="shared" si="112"/>
        <v>46.153846153846153</v>
      </c>
      <c r="I577" s="372">
        <f t="shared" ref="I577:J577" si="113">AVERAGEIF(I554:I576,"&gt;0")</f>
        <v>593.53666666666663</v>
      </c>
      <c r="J577" s="372">
        <f t="shared" si="113"/>
        <v>85.25</v>
      </c>
      <c r="K577" s="372">
        <f t="shared" ref="K577" si="114">AVERAGEIF(K554:K576,"&gt;0")</f>
        <v>477</v>
      </c>
      <c r="L577" s="525">
        <f>AVERAGEIF(L554:L576,"&gt;0")</f>
        <v>143.72166666666666</v>
      </c>
      <c r="M577" s="525">
        <f>AVERAGEIF(M554:M576,"&gt;0")</f>
        <v>491.23230769230759</v>
      </c>
    </row>
    <row r="578" spans="2:13" ht="20">
      <c r="B578" s="373" t="s">
        <v>253</v>
      </c>
      <c r="C578" s="371">
        <f>SUM(C554:C576)</f>
        <v>17735.199999999997</v>
      </c>
      <c r="D578" s="374">
        <f t="shared" ref="D578:K578" si="115">SUM(D554:D576)</f>
        <v>5304.5900000000011</v>
      </c>
      <c r="E578" s="374">
        <f t="shared" si="115"/>
        <v>2296.7299999999996</v>
      </c>
      <c r="F578" s="374">
        <f t="shared" si="115"/>
        <v>3007.8599999999997</v>
      </c>
      <c r="G578" s="374">
        <f t="shared" si="115"/>
        <v>4132.74</v>
      </c>
      <c r="H578" s="374">
        <f t="shared" si="115"/>
        <v>600</v>
      </c>
      <c r="I578" s="374">
        <f t="shared" si="115"/>
        <v>7122.44</v>
      </c>
      <c r="J578" s="374">
        <f t="shared" si="115"/>
        <v>511.5</v>
      </c>
      <c r="K578" s="374">
        <f t="shared" si="115"/>
        <v>2385</v>
      </c>
      <c r="L578" s="374"/>
      <c r="M578" s="374">
        <f>SUM(M554:M576)</f>
        <v>5312.87</v>
      </c>
    </row>
    <row r="579" spans="2:13">
      <c r="J579" s="364"/>
      <c r="K579" s="364"/>
      <c r="L579" s="364"/>
    </row>
    <row r="582" spans="2:13">
      <c r="B582" s="351"/>
    </row>
    <row r="583" spans="2:13" ht="18">
      <c r="B583" s="516"/>
      <c r="J583" s="155"/>
      <c r="K583" s="155"/>
      <c r="L583" s="155"/>
    </row>
    <row r="584" spans="2:13" ht="18">
      <c r="B584" s="517"/>
      <c r="C584" s="518"/>
      <c r="D584" s="518"/>
      <c r="E584" s="519"/>
      <c r="F584" s="518"/>
      <c r="G584" s="518"/>
      <c r="H584" s="518"/>
      <c r="I584" s="518"/>
      <c r="J584" s="352"/>
      <c r="K584" s="352"/>
      <c r="L584" s="352"/>
    </row>
    <row r="585" spans="2:13" ht="18">
      <c r="C585" s="519"/>
      <c r="D585" s="519"/>
      <c r="E585" s="502"/>
      <c r="F585" s="519"/>
      <c r="G585" s="519"/>
      <c r="H585" s="519"/>
      <c r="I585" s="519"/>
    </row>
    <row r="586" spans="2:13" ht="18">
      <c r="C586" s="519"/>
      <c r="D586" s="519"/>
      <c r="E586" s="519"/>
      <c r="F586" s="519"/>
      <c r="G586" s="519"/>
      <c r="H586" s="519"/>
      <c r="I586" s="519"/>
    </row>
    <row r="587" spans="2:13" ht="18">
      <c r="C587" s="519"/>
      <c r="D587" s="519"/>
      <c r="E587" s="519"/>
      <c r="F587" s="519"/>
      <c r="G587" s="519"/>
      <c r="H587" s="519"/>
      <c r="I587" s="519"/>
    </row>
    <row r="588" spans="2:13" ht="18">
      <c r="C588" s="519"/>
      <c r="D588" s="519"/>
      <c r="E588" s="519"/>
      <c r="F588" s="519"/>
      <c r="G588" s="519"/>
      <c r="H588" s="519"/>
      <c r="I588" s="519"/>
    </row>
    <row r="589" spans="2:13" ht="18">
      <c r="C589" s="519"/>
      <c r="D589" s="519"/>
      <c r="E589" s="519"/>
      <c r="F589" s="519"/>
      <c r="G589" s="519"/>
      <c r="H589" s="519"/>
      <c r="I589" s="519"/>
    </row>
    <row r="590" spans="2:13" ht="18">
      <c r="C590" s="519"/>
      <c r="D590" s="519"/>
      <c r="E590" s="519"/>
      <c r="F590" s="519"/>
      <c r="G590" s="519"/>
      <c r="H590" s="519"/>
      <c r="I590" s="519"/>
    </row>
    <row r="591" spans="2:13" ht="18">
      <c r="C591" s="519"/>
      <c r="D591" s="519"/>
      <c r="E591" s="519"/>
      <c r="F591" s="519"/>
      <c r="G591" s="519"/>
      <c r="H591" s="519"/>
      <c r="I591" s="519"/>
    </row>
    <row r="592" spans="2:13" ht="18">
      <c r="C592" s="519"/>
      <c r="D592" s="519"/>
      <c r="E592" s="519"/>
      <c r="F592" s="519"/>
      <c r="G592" s="519"/>
      <c r="H592" s="519"/>
      <c r="I592" s="519"/>
    </row>
    <row r="593" spans="2:9" ht="18">
      <c r="C593" s="519"/>
      <c r="D593" s="519"/>
      <c r="E593" s="519"/>
      <c r="F593" s="519"/>
      <c r="G593" s="519"/>
      <c r="H593" s="519"/>
      <c r="I593" s="519"/>
    </row>
    <row r="594" spans="2:9" ht="18">
      <c r="C594" s="519"/>
      <c r="D594" s="519"/>
      <c r="E594" s="519"/>
      <c r="F594" s="519"/>
      <c r="G594" s="519"/>
      <c r="H594" s="519"/>
      <c r="I594" s="519"/>
    </row>
    <row r="595" spans="2:9" ht="18">
      <c r="C595" s="519"/>
      <c r="D595" s="519"/>
      <c r="E595" s="519"/>
      <c r="F595" s="519"/>
      <c r="G595" s="519"/>
      <c r="H595" s="519"/>
      <c r="I595" s="519"/>
    </row>
    <row r="596" spans="2:9" ht="18">
      <c r="C596" s="519"/>
      <c r="D596" s="519"/>
      <c r="E596" s="519"/>
      <c r="F596" s="519"/>
      <c r="G596" s="519"/>
      <c r="H596" s="519"/>
      <c r="I596" s="519"/>
    </row>
    <row r="597" spans="2:9" ht="18">
      <c r="C597" s="519"/>
      <c r="D597" s="519"/>
      <c r="E597" s="519"/>
      <c r="F597" s="519"/>
      <c r="G597" s="519"/>
      <c r="H597" s="519"/>
      <c r="I597" s="519"/>
    </row>
    <row r="598" spans="2:9" ht="18">
      <c r="C598" s="519"/>
      <c r="D598" s="519"/>
      <c r="E598" s="519"/>
      <c r="F598" s="519"/>
      <c r="G598" s="519"/>
      <c r="H598" s="519"/>
      <c r="I598" s="519"/>
    </row>
    <row r="599" spans="2:9" ht="18">
      <c r="C599" s="519"/>
      <c r="D599" s="519"/>
      <c r="E599" s="519"/>
      <c r="F599" s="519"/>
      <c r="G599" s="519"/>
      <c r="H599" s="519"/>
      <c r="I599" s="519"/>
    </row>
    <row r="600" spans="2:9" ht="18">
      <c r="C600" s="519"/>
      <c r="D600" s="519"/>
      <c r="E600" s="519"/>
      <c r="F600" s="519"/>
      <c r="G600" s="519"/>
      <c r="H600" s="519"/>
      <c r="I600" s="519"/>
    </row>
    <row r="601" spans="2:9" ht="18">
      <c r="B601" s="520"/>
      <c r="H601" s="521"/>
      <c r="I601" s="502"/>
    </row>
    <row r="602" spans="2:9" ht="18">
      <c r="B602" s="520"/>
      <c r="C602" s="520"/>
      <c r="D602" s="520"/>
      <c r="E602" s="520"/>
      <c r="F602" s="520"/>
      <c r="G602" s="520"/>
      <c r="H602" s="521"/>
      <c r="I602" s="502"/>
    </row>
    <row r="603" spans="2:9" ht="18">
      <c r="B603" s="522"/>
      <c r="C603" s="522"/>
      <c r="D603" s="522"/>
      <c r="E603" s="522"/>
      <c r="F603" s="522"/>
      <c r="G603" s="522"/>
      <c r="H603" s="521"/>
      <c r="I603" s="502"/>
    </row>
    <row r="604" spans="2:9" ht="18">
      <c r="B604" s="522"/>
      <c r="C604" s="522"/>
      <c r="D604" s="522"/>
      <c r="E604" s="522"/>
      <c r="F604" s="522"/>
      <c r="G604" s="522"/>
      <c r="H604" s="521"/>
      <c r="I604" s="502"/>
    </row>
    <row r="605" spans="2:9" ht="18">
      <c r="B605" s="522"/>
      <c r="C605" s="522"/>
      <c r="D605" s="522"/>
      <c r="E605" s="522"/>
      <c r="F605" s="522"/>
      <c r="G605" s="522"/>
      <c r="H605" s="521"/>
      <c r="I605" s="502"/>
    </row>
    <row r="606" spans="2:9" ht="18">
      <c r="B606" s="522"/>
      <c r="C606" s="522"/>
      <c r="D606" s="522"/>
      <c r="E606" s="522"/>
      <c r="F606" s="522"/>
      <c r="G606" s="522"/>
      <c r="H606" s="521"/>
      <c r="I606" s="502"/>
    </row>
    <row r="607" spans="2:9" ht="18">
      <c r="B607" s="522"/>
      <c r="C607" s="522"/>
      <c r="D607" s="522"/>
      <c r="E607" s="522"/>
      <c r="F607" s="522"/>
      <c r="G607" s="522"/>
      <c r="H607" s="521"/>
      <c r="I607" s="502"/>
    </row>
    <row r="608" spans="2:9" ht="18">
      <c r="B608" s="522"/>
      <c r="C608" s="522"/>
      <c r="D608" s="522"/>
      <c r="E608" s="522"/>
      <c r="F608" s="522"/>
      <c r="G608" s="522"/>
      <c r="H608" s="521"/>
      <c r="I608" s="502"/>
    </row>
    <row r="609" spans="1:12" ht="18">
      <c r="B609" s="522"/>
      <c r="C609" s="522"/>
      <c r="D609" s="522"/>
      <c r="E609" s="522"/>
      <c r="F609" s="522"/>
      <c r="G609" s="522"/>
      <c r="H609" s="521"/>
      <c r="I609" s="502"/>
    </row>
    <row r="610" spans="1:12" ht="18">
      <c r="B610" s="522"/>
      <c r="C610" s="522"/>
      <c r="D610" s="522"/>
      <c r="E610" s="522"/>
      <c r="F610" s="522"/>
      <c r="G610" s="522"/>
      <c r="H610" s="521"/>
      <c r="I610" s="502"/>
    </row>
    <row r="611" spans="1:12" ht="18">
      <c r="B611" s="502"/>
      <c r="C611" s="502"/>
      <c r="D611" s="502"/>
      <c r="E611" s="502"/>
      <c r="F611" s="502"/>
      <c r="G611" s="502"/>
      <c r="H611" s="502"/>
      <c r="I611" s="502"/>
    </row>
    <row r="612" spans="1:12">
      <c r="B612" s="155"/>
      <c r="C612" s="155"/>
      <c r="D612" s="155"/>
      <c r="E612" s="155"/>
      <c r="F612" s="155"/>
      <c r="G612" s="155"/>
      <c r="H612" s="155"/>
      <c r="I612" s="155"/>
      <c r="J612" s="155"/>
      <c r="K612" s="155"/>
      <c r="L612" s="155"/>
    </row>
    <row r="614" spans="1:12">
      <c r="B614" s="115"/>
      <c r="C614" s="115"/>
      <c r="D614" s="115"/>
    </row>
    <row r="615" spans="1:12">
      <c r="B615" s="506"/>
      <c r="C615" s="506"/>
      <c r="D615" s="506"/>
    </row>
    <row r="616" spans="1:12">
      <c r="B616" s="506"/>
      <c r="C616" s="506"/>
      <c r="D616" s="506"/>
    </row>
    <row r="617" spans="1:12">
      <c r="B617" s="506"/>
      <c r="C617" s="506"/>
      <c r="D617" s="506"/>
    </row>
    <row r="618" spans="1:12">
      <c r="B618" s="506"/>
      <c r="C618" s="506"/>
      <c r="D618" s="506"/>
    </row>
    <row r="619" spans="1:12">
      <c r="B619" s="506"/>
      <c r="C619" s="506"/>
      <c r="D619" s="506"/>
    </row>
    <row r="620" spans="1:12">
      <c r="B620" s="506"/>
      <c r="C620" s="506"/>
      <c r="D620" s="506"/>
    </row>
    <row r="624" spans="1:12">
      <c r="A624" s="507"/>
    </row>
  </sheetData>
  <mergeCells count="156">
    <mergeCell ref="B525:G525"/>
    <mergeCell ref="B519:G519"/>
    <mergeCell ref="B421:G421"/>
    <mergeCell ref="B89:G89"/>
    <mergeCell ref="B454:G454"/>
    <mergeCell ref="B141:G141"/>
    <mergeCell ref="B161:G161"/>
    <mergeCell ref="F115:G115"/>
    <mergeCell ref="B143:G143"/>
    <mergeCell ref="B429:G429"/>
    <mergeCell ref="B517:G517"/>
    <mergeCell ref="B518:G518"/>
    <mergeCell ref="B431:B452"/>
    <mergeCell ref="B463:B484"/>
    <mergeCell ref="B427:G427"/>
    <mergeCell ref="B222:B235"/>
    <mergeCell ref="B140:G140"/>
    <mergeCell ref="B423:G423"/>
    <mergeCell ref="B396:G396"/>
    <mergeCell ref="B315:G315"/>
    <mergeCell ref="B422:G422"/>
    <mergeCell ref="B486:G486"/>
    <mergeCell ref="B458:G458"/>
    <mergeCell ref="B394:G394"/>
    <mergeCell ref="B426:G426"/>
    <mergeCell ref="B117:G117"/>
    <mergeCell ref="F86:G86"/>
    <mergeCell ref="B360:G360"/>
    <mergeCell ref="B185:G185"/>
    <mergeCell ref="B393:G393"/>
    <mergeCell ref="B29:G29"/>
    <mergeCell ref="B342:G342"/>
    <mergeCell ref="B365:G365"/>
    <mergeCell ref="B397:G397"/>
    <mergeCell ref="B192:B210"/>
    <mergeCell ref="B90:G90"/>
    <mergeCell ref="B297:B309"/>
    <mergeCell ref="F139:G139"/>
    <mergeCell ref="B187:G187"/>
    <mergeCell ref="B273:B286"/>
    <mergeCell ref="B44:G44"/>
    <mergeCell ref="B390:G390"/>
    <mergeCell ref="B425:G425"/>
    <mergeCell ref="B363:G363"/>
    <mergeCell ref="B399:B420"/>
    <mergeCell ref="B392:G392"/>
    <mergeCell ref="B361:G361"/>
    <mergeCell ref="B41:G41"/>
    <mergeCell ref="B22:G22"/>
    <mergeCell ref="B119:G119"/>
    <mergeCell ref="B334:G334"/>
    <mergeCell ref="B340:G340"/>
    <mergeCell ref="B487:G487"/>
    <mergeCell ref="B461:G461"/>
    <mergeCell ref="B493:G493"/>
    <mergeCell ref="B4:B17"/>
    <mergeCell ref="B310:G310"/>
    <mergeCell ref="B265:G265"/>
    <mergeCell ref="F212:G212"/>
    <mergeCell ref="B312:G312"/>
    <mergeCell ref="B492:G492"/>
    <mergeCell ref="B184:G184"/>
    <mergeCell ref="B76:B83"/>
    <mergeCell ref="B65:G65"/>
    <mergeCell ref="B456:G456"/>
    <mergeCell ref="B491:G491"/>
    <mergeCell ref="B488:G488"/>
    <mergeCell ref="B236:G236"/>
    <mergeCell ref="B335:G335"/>
    <mergeCell ref="B149:B158"/>
    <mergeCell ref="B489:G489"/>
    <mergeCell ref="B311:G311"/>
    <mergeCell ref="B266:G266"/>
    <mergeCell ref="B171:B181"/>
    <mergeCell ref="B25:G25"/>
    <mergeCell ref="B96:B112"/>
    <mergeCell ref="F66:G66"/>
    <mergeCell ref="B263:G263"/>
    <mergeCell ref="B364:G364"/>
    <mergeCell ref="B69:G69"/>
    <mergeCell ref="B246:B262"/>
    <mergeCell ref="B362:G362"/>
    <mergeCell ref="B46:G46"/>
    <mergeCell ref="B114:G114"/>
    <mergeCell ref="B2:I2"/>
    <mergeCell ref="B264:G264"/>
    <mergeCell ref="B52:B63"/>
    <mergeCell ref="B460:G460"/>
    <mergeCell ref="F42:G42"/>
    <mergeCell ref="B20:G20"/>
    <mergeCell ref="B138:G138"/>
    <mergeCell ref="F21:G21"/>
    <mergeCell ref="B28:G28"/>
    <mergeCell ref="B24:G24"/>
    <mergeCell ref="B31:B39"/>
    <mergeCell ref="F183:G183"/>
    <mergeCell ref="B241:G241"/>
    <mergeCell ref="B344:B356"/>
    <mergeCell ref="B238:G238"/>
    <mergeCell ref="B116:G116"/>
    <mergeCell ref="B359:G359"/>
    <mergeCell ref="B292:G292"/>
    <mergeCell ref="F237:G237"/>
    <mergeCell ref="B287:G287"/>
    <mergeCell ref="B23:G23"/>
    <mergeCell ref="B67:G67"/>
    <mergeCell ref="B70:G70"/>
    <mergeCell ref="B85:G85"/>
    <mergeCell ref="B523:G523"/>
    <mergeCell ref="B357:G357"/>
    <mergeCell ref="B43:G43"/>
    <mergeCell ref="B289:G289"/>
    <mergeCell ref="B485:G485"/>
    <mergeCell ref="B459:G459"/>
    <mergeCell ref="B163:G163"/>
    <mergeCell ref="B45:G45"/>
    <mergeCell ref="B88:G88"/>
    <mergeCell ref="B239:G239"/>
    <mergeCell ref="B213:G213"/>
    <mergeCell ref="B290:G290"/>
    <mergeCell ref="B395:G395"/>
    <mergeCell ref="B87:G87"/>
    <mergeCell ref="B164:G164"/>
    <mergeCell ref="B68:G68"/>
    <mergeCell ref="B391:G391"/>
    <mergeCell ref="B341:G341"/>
    <mergeCell ref="B313:G313"/>
    <mergeCell ref="B125:B136"/>
    <mergeCell ref="B320:B333"/>
    <mergeCell ref="B367:B388"/>
    <mergeCell ref="B182:G182"/>
    <mergeCell ref="B268:G268"/>
    <mergeCell ref="B552:M552"/>
    <mergeCell ref="B457:G457"/>
    <mergeCell ref="B389:G389"/>
    <mergeCell ref="F162:G162"/>
    <mergeCell ref="B166:G166"/>
    <mergeCell ref="B455:G455"/>
    <mergeCell ref="B338:G338"/>
    <mergeCell ref="B216:G216"/>
    <mergeCell ref="B524:G524"/>
    <mergeCell ref="B453:G453"/>
    <mergeCell ref="B522:G522"/>
    <mergeCell ref="B428:G428"/>
    <mergeCell ref="B211:G211"/>
    <mergeCell ref="B424:G424"/>
    <mergeCell ref="B214:G214"/>
    <mergeCell ref="B288:G288"/>
    <mergeCell ref="B337:G337"/>
    <mergeCell ref="B490:G490"/>
    <mergeCell ref="B339:G339"/>
    <mergeCell ref="B358:G358"/>
    <mergeCell ref="B521:G521"/>
    <mergeCell ref="B520:G520"/>
    <mergeCell ref="B495:B516"/>
    <mergeCell ref="B336:G336"/>
  </mergeCells>
  <conditionalFormatting sqref="C83 D101:D112">
    <cfRule type="containsText" dxfId="137" priority="36" operator="containsText" text="Payment">
      <formula>NOT(ISERROR(SEARCH("Payment",C83)))</formula>
    </cfRule>
  </conditionalFormatting>
  <conditionalFormatting sqref="C126:C127 D225:D231 H227:H231 D233:D235 H233:H235">
    <cfRule type="containsText" dxfId="136" priority="30" operator="containsText" text="Payment">
      <formula>NOT(ISERROR(SEARCH("Payment",C126)))</formula>
    </cfRule>
  </conditionalFormatting>
  <conditionalFormatting sqref="C135">
    <cfRule type="containsText" dxfId="135" priority="31" operator="containsText" text="Payment">
      <formula>NOT(ISERROR(SEARCH("Payment",C135)))</formula>
    </cfRule>
  </conditionalFormatting>
  <conditionalFormatting sqref="C150:C151">
    <cfRule type="containsText" dxfId="134" priority="27" operator="containsText" text="Payment">
      <formula>NOT(ISERROR(SEARCH("Payment",C150)))</formula>
    </cfRule>
  </conditionalFormatting>
  <conditionalFormatting sqref="C5:D19">
    <cfRule type="containsText" dxfId="133" priority="41" operator="containsText" text="Payment">
      <formula>NOT(ISERROR(SEARCH("Payment",C5)))</formula>
    </cfRule>
  </conditionalFormatting>
  <conditionalFormatting sqref="C32:D40 C51:D51">
    <cfRule type="containsText" dxfId="132" priority="40" operator="containsText" text="Payment">
      <formula>NOT(ISERROR(SEARCH("Payment",C32)))</formula>
    </cfRule>
  </conditionalFormatting>
  <conditionalFormatting sqref="C53:D58 C59 C61:C64">
    <cfRule type="containsText" dxfId="131" priority="39" operator="containsText" text="Payment">
      <formula>NOT(ISERROR(SEARCH("Payment",C53)))</formula>
    </cfRule>
  </conditionalFormatting>
  <conditionalFormatting sqref="C75:D75">
    <cfRule type="containsText" dxfId="130" priority="37" operator="containsText" text="Payment">
      <formula>NOT(ISERROR(SEARCH("Payment",C75)))</formula>
    </cfRule>
  </conditionalFormatting>
  <conditionalFormatting sqref="C95:D95">
    <cfRule type="containsText" dxfId="129" priority="34" operator="containsText" text="Payment">
      <formula>NOT(ISERROR(SEARCH("Payment",C95)))</formula>
    </cfRule>
  </conditionalFormatting>
  <conditionalFormatting sqref="C124:D124">
    <cfRule type="containsText" dxfId="128" priority="33" operator="containsText" text="Payment">
      <formula>NOT(ISERROR(SEARCH("Payment",C124)))</formula>
    </cfRule>
  </conditionalFormatting>
  <conditionalFormatting sqref="C148:D148">
    <cfRule type="containsText" dxfId="127" priority="28" operator="containsText" text="Payment">
      <formula>NOT(ISERROR(SEARCH("Payment",C148)))</formula>
    </cfRule>
  </conditionalFormatting>
  <conditionalFormatting sqref="C170:D170">
    <cfRule type="containsText" dxfId="126" priority="24" operator="containsText" text="Payment">
      <formula>NOT(ISERROR(SEARCH("Payment",C170)))</formula>
    </cfRule>
  </conditionalFormatting>
  <conditionalFormatting sqref="C172:D174 C175">
    <cfRule type="containsText" dxfId="125" priority="22" operator="containsText" text="Payment">
      <formula>NOT(ISERROR(SEARCH("Payment",C172)))</formula>
    </cfRule>
  </conditionalFormatting>
  <conditionalFormatting sqref="C191:D191">
    <cfRule type="containsText" dxfId="124" priority="19" operator="containsText" text="Payment">
      <formula>NOT(ISERROR(SEARCH("Payment",C191)))</formula>
    </cfRule>
  </conditionalFormatting>
  <conditionalFormatting sqref="C193:D194 C195:C197">
    <cfRule type="containsText" dxfId="123" priority="18" operator="containsText" text="Payment">
      <formula>NOT(ISERROR(SEARCH("Payment",C193)))</formula>
    </cfRule>
  </conditionalFormatting>
  <conditionalFormatting sqref="C221:D221">
    <cfRule type="containsText" dxfId="122" priority="14" operator="containsText" text="Payment">
      <formula>NOT(ISERROR(SEARCH("Payment",C221)))</formula>
    </cfRule>
  </conditionalFormatting>
  <conditionalFormatting sqref="C223:D224 C225:C226">
    <cfRule type="containsText" dxfId="121" priority="13" operator="containsText" text="Payment">
      <formula>NOT(ISERROR(SEARCH("Payment",C223)))</formula>
    </cfRule>
  </conditionalFormatting>
  <conditionalFormatting sqref="D59:D64">
    <cfRule type="containsText" dxfId="120" priority="38" operator="containsText" text="Payment">
      <formula>NOT(ISERROR(SEARCH("Payment",D59)))</formula>
    </cfRule>
  </conditionalFormatting>
  <conditionalFormatting sqref="D77:D84">
    <cfRule type="containsText" dxfId="119" priority="35" operator="containsText" text="Payment">
      <formula>NOT(ISERROR(SEARCH("Payment",D77)))</formula>
    </cfRule>
  </conditionalFormatting>
  <conditionalFormatting sqref="D126:D136">
    <cfRule type="containsText" dxfId="118" priority="29" operator="containsText" text="Payment">
      <formula>NOT(ISERROR(SEARCH("Payment",D126)))</formula>
    </cfRule>
  </conditionalFormatting>
  <conditionalFormatting sqref="D150:D160">
    <cfRule type="containsText" dxfId="117" priority="26" operator="containsText" text="Payment">
      <formula>NOT(ISERROR(SEARCH("Payment",D150)))</formula>
    </cfRule>
  </conditionalFormatting>
  <conditionalFormatting sqref="D175:D181">
    <cfRule type="containsText" dxfId="116" priority="21" operator="containsText" text="Payment">
      <formula>NOT(ISERROR(SEARCH("Payment",D175)))</formula>
    </cfRule>
  </conditionalFormatting>
  <conditionalFormatting sqref="D195:D210">
    <cfRule type="containsText" dxfId="115" priority="16" operator="containsText" text="Payment">
      <formula>NOT(ISERROR(SEARCH("Payment",D195)))</formula>
    </cfRule>
  </conditionalFormatting>
  <conditionalFormatting sqref="D252">
    <cfRule type="containsText" dxfId="114" priority="11" operator="containsText" text="Payment">
      <formula>NOT(ISERROR(SEARCH("Payment",D252)))</formula>
    </cfRule>
  </conditionalFormatting>
  <conditionalFormatting sqref="D279">
    <cfRule type="containsText" dxfId="113" priority="10" operator="containsText" text="Payment">
      <formula>NOT(ISERROR(SEARCH("Payment",D279)))</formula>
    </cfRule>
  </conditionalFormatting>
  <conditionalFormatting sqref="D303">
    <cfRule type="containsText" dxfId="112" priority="9" operator="containsText" text="Payment">
      <formula>NOT(ISERROR(SEARCH("Payment",D303)))</formula>
    </cfRule>
  </conditionalFormatting>
  <conditionalFormatting sqref="H28:H29">
    <cfRule type="cellIs" dxfId="111" priority="85" operator="lessThan">
      <formula>0</formula>
    </cfRule>
    <cfRule type="cellIs" dxfId="110" priority="84" operator="greaterThanOrEqual">
      <formula>0</formula>
    </cfRule>
  </conditionalFormatting>
  <conditionalFormatting sqref="H49:H50">
    <cfRule type="cellIs" dxfId="109" priority="86" operator="greaterThanOrEqual">
      <formula>0</formula>
    </cfRule>
    <cfRule type="cellIs" dxfId="108" priority="87" operator="lessThan">
      <formula>0</formula>
    </cfRule>
  </conditionalFormatting>
  <conditionalFormatting sqref="H73:H74">
    <cfRule type="cellIs" dxfId="107" priority="88" operator="greaterThanOrEqual">
      <formula>0</formula>
    </cfRule>
    <cfRule type="cellIs" dxfId="106" priority="89" operator="lessThan">
      <formula>0</formula>
    </cfRule>
  </conditionalFormatting>
  <conditionalFormatting sqref="H93:H94">
    <cfRule type="cellIs" dxfId="105" priority="90" operator="greaterThanOrEqual">
      <formula>0</formula>
    </cfRule>
    <cfRule type="cellIs" dxfId="104" priority="91" operator="lessThan">
      <formula>0</formula>
    </cfRule>
  </conditionalFormatting>
  <conditionalFormatting sqref="H122:H123">
    <cfRule type="cellIs" dxfId="103" priority="92" operator="greaterThanOrEqual">
      <formula>0</formula>
    </cfRule>
    <cfRule type="cellIs" dxfId="102" priority="93" operator="lessThan">
      <formula>0</formula>
    </cfRule>
  </conditionalFormatting>
  <conditionalFormatting sqref="H126:H136">
    <cfRule type="containsText" dxfId="101" priority="32" operator="containsText" text="Payment">
      <formula>NOT(ISERROR(SEARCH("Payment",H126)))</formula>
    </cfRule>
  </conditionalFormatting>
  <conditionalFormatting sqref="H146:H147">
    <cfRule type="cellIs" dxfId="100" priority="95" operator="lessThan">
      <formula>0</formula>
    </cfRule>
    <cfRule type="cellIs" dxfId="99" priority="94" operator="greaterThanOrEqual">
      <formula>0</formula>
    </cfRule>
  </conditionalFormatting>
  <conditionalFormatting sqref="H150:H160">
    <cfRule type="containsText" dxfId="98" priority="25" operator="containsText" text="Payment">
      <formula>NOT(ISERROR(SEARCH("Payment",H150)))</formula>
    </cfRule>
  </conditionalFormatting>
  <conditionalFormatting sqref="H168:H169">
    <cfRule type="cellIs" dxfId="97" priority="96" operator="greaterThanOrEqual">
      <formula>0</formula>
    </cfRule>
    <cfRule type="cellIs" dxfId="96" priority="97" operator="lessThan">
      <formula>0</formula>
    </cfRule>
  </conditionalFormatting>
  <conditionalFormatting sqref="H172:H173">
    <cfRule type="containsText" dxfId="95" priority="23" operator="containsText" text="Payment">
      <formula>NOT(ISERROR(SEARCH("Payment",H172)))</formula>
    </cfRule>
  </conditionalFormatting>
  <conditionalFormatting sqref="H175:H181">
    <cfRule type="containsText" dxfId="94" priority="20" operator="containsText" text="Payment">
      <formula>NOT(ISERROR(SEARCH("Payment",H175)))</formula>
    </cfRule>
  </conditionalFormatting>
  <conditionalFormatting sqref="H189:H190">
    <cfRule type="cellIs" dxfId="93" priority="98" operator="greaterThanOrEqual">
      <formula>0</formula>
    </cfRule>
    <cfRule type="cellIs" dxfId="92" priority="99" operator="lessThan">
      <formula>0</formula>
    </cfRule>
  </conditionalFormatting>
  <conditionalFormatting sqref="H193:H195">
    <cfRule type="containsText" dxfId="91" priority="17" operator="containsText" text="Payment">
      <formula>NOT(ISERROR(SEARCH("Payment",H193)))</formula>
    </cfRule>
  </conditionalFormatting>
  <conditionalFormatting sqref="H197:H210">
    <cfRule type="containsText" dxfId="90" priority="15" operator="containsText" text="Payment">
      <formula>NOT(ISERROR(SEARCH("Payment",H197)))</formula>
    </cfRule>
  </conditionalFormatting>
  <conditionalFormatting sqref="H219:H220">
    <cfRule type="cellIs" dxfId="89" priority="101" operator="lessThan">
      <formula>0</formula>
    </cfRule>
    <cfRule type="cellIs" dxfId="88" priority="100" operator="greaterThanOrEqual">
      <formula>0</formula>
    </cfRule>
  </conditionalFormatting>
  <conditionalFormatting sqref="H223:H225">
    <cfRule type="containsText" dxfId="87" priority="12" operator="containsText" text="Payment">
      <formula>NOT(ISERROR(SEARCH("Payment",H223)))</formula>
    </cfRule>
  </conditionalFormatting>
  <conditionalFormatting sqref="H243:H244">
    <cfRule type="cellIs" dxfId="86" priority="103" operator="lessThan">
      <formula>0</formula>
    </cfRule>
    <cfRule type="cellIs" dxfId="85" priority="102" operator="greaterThanOrEqual">
      <formula>0</formula>
    </cfRule>
  </conditionalFormatting>
  <conditionalFormatting sqref="H270:H271">
    <cfRule type="cellIs" dxfId="84" priority="104" operator="greaterThanOrEqual">
      <formula>0</formula>
    </cfRule>
    <cfRule type="cellIs" dxfId="83" priority="105" operator="lessThan">
      <formula>0</formula>
    </cfRule>
  </conditionalFormatting>
  <conditionalFormatting sqref="H294:H295">
    <cfRule type="cellIs" dxfId="82" priority="107" operator="lessThan">
      <formula>0</formula>
    </cfRule>
    <cfRule type="cellIs" dxfId="81" priority="106" operator="greaterThanOrEqual">
      <formula>0</formula>
    </cfRule>
  </conditionalFormatting>
  <conditionalFormatting sqref="H317:H318">
    <cfRule type="cellIs" dxfId="80" priority="109" operator="lessThan">
      <formula>0</formula>
    </cfRule>
    <cfRule type="cellIs" dxfId="79" priority="108" operator="greaterThanOrEqual">
      <formula>0</formula>
    </cfRule>
  </conditionalFormatting>
  <conditionalFormatting sqref="H341:H342">
    <cfRule type="cellIs" dxfId="78" priority="110" operator="greaterThanOrEqual">
      <formula>0</formula>
    </cfRule>
    <cfRule type="cellIs" dxfId="77" priority="111" operator="lessThan">
      <formula>0</formula>
    </cfRule>
  </conditionalFormatting>
  <conditionalFormatting sqref="H364:H365">
    <cfRule type="cellIs" dxfId="76" priority="113" operator="lessThan">
      <formula>0</formula>
    </cfRule>
    <cfRule type="cellIs" dxfId="75" priority="112" operator="greaterThanOrEqual">
      <formula>0</formula>
    </cfRule>
  </conditionalFormatting>
  <conditionalFormatting sqref="H396:H397">
    <cfRule type="cellIs" dxfId="74" priority="115" operator="lessThan">
      <formula>0</formula>
    </cfRule>
    <cfRule type="cellIs" dxfId="73" priority="114" operator="greaterThanOrEqual">
      <formula>0</formula>
    </cfRule>
  </conditionalFormatting>
  <conditionalFormatting sqref="H428:H429">
    <cfRule type="cellIs" dxfId="72" priority="117" operator="lessThan">
      <formula>0</formula>
    </cfRule>
    <cfRule type="cellIs" dxfId="71" priority="116" operator="greaterThanOrEqual">
      <formula>0</formula>
    </cfRule>
  </conditionalFormatting>
  <conditionalFormatting sqref="H460:H461">
    <cfRule type="cellIs" dxfId="70" priority="118" operator="greaterThanOrEqual">
      <formula>0</formula>
    </cfRule>
    <cfRule type="cellIs" dxfId="69" priority="119" operator="lessThan">
      <formula>0</formula>
    </cfRule>
  </conditionalFormatting>
  <conditionalFormatting sqref="H492:H493">
    <cfRule type="cellIs" dxfId="68" priority="121" operator="lessThan">
      <formula>0</formula>
    </cfRule>
    <cfRule type="cellIs" dxfId="67" priority="120" operator="greaterThanOrEqual">
      <formula>0</formula>
    </cfRule>
  </conditionalFormatting>
  <conditionalFormatting sqref="H524:H525">
    <cfRule type="cellIs" dxfId="66" priority="123" operator="lessThan">
      <formula>0</formula>
    </cfRule>
    <cfRule type="cellIs" dxfId="65" priority="122" operator="greaterThanOrEqual">
      <formula>0</formula>
    </cfRule>
  </conditionalFormatting>
  <conditionalFormatting sqref="L554:M576">
    <cfRule type="cellIs" dxfId="64" priority="2" operator="lessThan">
      <formula>0</formula>
    </cfRule>
    <cfRule type="cellIs" dxfId="63" priority="1" operator="greaterThanOrEqual">
      <formula>0</formula>
    </cfRule>
  </conditionalFormatting>
  <conditionalFormatting sqref="M554:M576">
    <cfRule type="cellIs" dxfId="62" priority="43" operator="lessThan">
      <formula>0</formula>
    </cfRule>
    <cfRule type="cellIs" dxfId="61" priority="42" operator="greaterThanOrEqual">
      <formula>0</formula>
    </cfRule>
  </conditionalFormatting>
  <dataValidations count="4">
    <dataValidation type="list" allowBlank="1" showErrorMessage="1" errorTitle="Catégorie invalide" error="Utilise uniquement les catégories de la liste." sqref="I4:I515" xr:uid="{00000000-0002-0000-0200-000001000000}">
      <formula1>"Salary,Investment,Savings,Housing,Rent,Subscription,Food/Drink,Transport,Leisure,Debt,Repayment,Buffer (To spend),Job,Investing / Repayment"</formula1>
    </dataValidation>
    <dataValidation type="list" errorStyle="information" allowBlank="1" sqref="E4:E536" xr:uid="{F2BF0342-74EF-884F-8735-10CA66394B19}">
      <formula1>"Income,Personal Expense,Recurring Expense,Joint Account,Investment,Internal Transfer,Saving Allocation,Debt Repayment,Review"</formula1>
    </dataValidation>
    <dataValidation type="list" errorStyle="information" allowBlank="1" showInputMessage="1" sqref="F4:F536" xr:uid="{2CBAD2A5-BD59-EF48-B4B7-A4492BBA63E2}">
      <formula1>"Sapien,WestPac Everyday,Investing Account,Emergency Fund,BetaShares,CommBank Net Bank"</formula1>
    </dataValidation>
    <dataValidation type="list" errorStyle="information" allowBlank="1" showInputMessage="1" sqref="G4:G536" xr:uid="{956FA56E-AFD7-7F42-A184-630B445167CF}">
      <formula1>"WestPac Everyday,Lily,Joint Account,External,LaBanquePostale,Planned Expenses Acc,Investing Account,Emergency Fund,BetaShares,OKX,BetaShares / OKX,eSaver,WestPac Savings"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D3C9-477B-F84F-8283-FF60B7201E3A}">
  <dimension ref="B2:P209"/>
  <sheetViews>
    <sheetView topLeftCell="B92" zoomScaleNormal="80" workbookViewId="0">
      <selection activeCell="G160" sqref="G160"/>
    </sheetView>
  </sheetViews>
  <sheetFormatPr baseColWidth="10" defaultColWidth="10.83203125" defaultRowHeight="16" outlineLevelRow="1"/>
  <cols>
    <col min="2" max="2" width="19.83203125" style="56" customWidth="1"/>
    <col min="3" max="3" width="22.1640625" bestFit="1" customWidth="1"/>
    <col min="4" max="4" width="43" bestFit="1" customWidth="1"/>
    <col min="5" max="5" width="10.5" bestFit="1" customWidth="1"/>
    <col min="6" max="6" width="13" bestFit="1" customWidth="1"/>
    <col min="7" max="7" width="16" bestFit="1" customWidth="1"/>
    <col min="8" max="8" width="26.6640625" bestFit="1" customWidth="1"/>
    <col min="9" max="9" width="24.83203125" bestFit="1" customWidth="1"/>
    <col min="10" max="10" width="23" bestFit="1" customWidth="1"/>
    <col min="11" max="11" width="50.1640625" bestFit="1" customWidth="1"/>
    <col min="12" max="12" width="31.83203125" bestFit="1" customWidth="1"/>
    <col min="13" max="13" width="18.1640625" bestFit="1" customWidth="1"/>
    <col min="14" max="14" width="32.33203125" bestFit="1" customWidth="1"/>
    <col min="15" max="16" width="17" bestFit="1" customWidth="1"/>
    <col min="17" max="17" width="30.1640625" bestFit="1" customWidth="1"/>
  </cols>
  <sheetData>
    <row r="2" spans="2:14" ht="24" customHeight="1"/>
    <row r="3" spans="2:14" ht="23" customHeight="1"/>
    <row r="4" spans="2:14" ht="24">
      <c r="B4" s="651" t="s">
        <v>270</v>
      </c>
      <c r="C4" s="652"/>
      <c r="D4" s="652"/>
      <c r="E4" s="652"/>
      <c r="F4" s="652"/>
      <c r="G4" s="652"/>
      <c r="H4" s="652"/>
      <c r="I4" s="652"/>
      <c r="J4" s="652"/>
      <c r="K4" s="652"/>
      <c r="L4" s="652"/>
      <c r="M4" s="652"/>
      <c r="N4" s="653"/>
    </row>
    <row r="5" spans="2:14" ht="15" customHeight="1">
      <c r="B5" s="663" t="s">
        <v>0</v>
      </c>
      <c r="C5" s="664"/>
      <c r="D5" s="664"/>
      <c r="E5" s="664"/>
      <c r="F5" s="665"/>
      <c r="G5" s="1" t="s">
        <v>1</v>
      </c>
      <c r="H5" s="121" t="s">
        <v>2</v>
      </c>
      <c r="I5" s="121"/>
      <c r="J5" s="121"/>
      <c r="K5" s="107" t="s">
        <v>3</v>
      </c>
      <c r="L5" s="111" t="s">
        <v>4</v>
      </c>
      <c r="M5" s="119"/>
      <c r="N5" s="120" t="s">
        <v>258</v>
      </c>
    </row>
    <row r="6" spans="2:14">
      <c r="B6" s="52" t="s">
        <v>114</v>
      </c>
      <c r="C6" s="1" t="s">
        <v>267</v>
      </c>
      <c r="D6" s="1" t="s">
        <v>7</v>
      </c>
      <c r="E6" s="1" t="s">
        <v>8</v>
      </c>
      <c r="F6" s="1" t="s">
        <v>9</v>
      </c>
      <c r="G6" s="1" t="s">
        <v>10</v>
      </c>
      <c r="H6" s="121" t="s">
        <v>11</v>
      </c>
      <c r="I6" s="121" t="s">
        <v>12</v>
      </c>
      <c r="J6" s="121" t="s">
        <v>13</v>
      </c>
      <c r="K6" s="121" t="s">
        <v>14</v>
      </c>
      <c r="L6" s="1" t="s">
        <v>15</v>
      </c>
      <c r="M6" s="1" t="s">
        <v>16</v>
      </c>
      <c r="N6" s="121" t="s">
        <v>259</v>
      </c>
    </row>
    <row r="7" spans="2:14" outlineLevel="1">
      <c r="B7" s="52" t="s">
        <v>115</v>
      </c>
      <c r="C7" s="2">
        <v>45455</v>
      </c>
      <c r="D7" s="3">
        <v>3</v>
      </c>
      <c r="E7" s="3">
        <f>IFERROR(F7/D7,"")</f>
        <v>7</v>
      </c>
      <c r="F7" s="3">
        <v>21</v>
      </c>
      <c r="G7" s="8">
        <v>28.26</v>
      </c>
      <c r="H7" s="124">
        <f>(G7*F7)</f>
        <v>593.46</v>
      </c>
      <c r="I7" s="125">
        <v>504.46</v>
      </c>
      <c r="J7" s="126"/>
      <c r="K7" s="133" t="s">
        <v>261</v>
      </c>
      <c r="L7" s="131">
        <f>H7-I7</f>
        <v>89.000000000000057</v>
      </c>
      <c r="M7" s="15">
        <f>(H7-I7)/H7</f>
        <v>0.14996798436288891</v>
      </c>
      <c r="N7" s="122">
        <v>65.28</v>
      </c>
    </row>
    <row r="8" spans="2:14" outlineLevel="1">
      <c r="B8" s="52" t="s">
        <v>116</v>
      </c>
      <c r="C8" s="2">
        <v>45462</v>
      </c>
      <c r="D8" s="3">
        <v>4</v>
      </c>
      <c r="E8" s="3">
        <f t="shared" ref="E8:E9" si="0">IFERROR(F8/D8,"")</f>
        <v>7.125</v>
      </c>
      <c r="F8" s="3">
        <v>28.5</v>
      </c>
      <c r="G8" s="8">
        <v>28.26</v>
      </c>
      <c r="H8" s="7">
        <f t="shared" ref="H8:H9" si="1">(G8*F8)</f>
        <v>805.41000000000008</v>
      </c>
      <c r="I8" s="10">
        <v>684.41</v>
      </c>
      <c r="J8" s="127"/>
      <c r="K8" s="133" t="s">
        <v>262</v>
      </c>
      <c r="L8" s="131">
        <f>H8-I8</f>
        <v>121.00000000000011</v>
      </c>
      <c r="M8" s="15">
        <f>(H8-I8)/H8</f>
        <v>0.15023404228902063</v>
      </c>
      <c r="N8" s="122">
        <v>88.6</v>
      </c>
    </row>
    <row r="9" spans="2:14" outlineLevel="1">
      <c r="B9" s="52" t="s">
        <v>117</v>
      </c>
      <c r="C9" s="2">
        <v>45469</v>
      </c>
      <c r="D9" s="3">
        <v>5</v>
      </c>
      <c r="E9" s="3">
        <f t="shared" si="0"/>
        <v>7.5</v>
      </c>
      <c r="F9" s="3">
        <v>37.5</v>
      </c>
      <c r="G9" s="8">
        <v>28.26</v>
      </c>
      <c r="H9" s="7">
        <f t="shared" si="1"/>
        <v>1059.75</v>
      </c>
      <c r="I9" s="10">
        <v>900.75</v>
      </c>
      <c r="J9" s="128"/>
      <c r="K9" s="133" t="s">
        <v>263</v>
      </c>
      <c r="L9" s="131">
        <f>H9-I9</f>
        <v>159</v>
      </c>
      <c r="M9" s="15">
        <f>(H9-I9)/H9</f>
        <v>0.15003538570417552</v>
      </c>
      <c r="N9" s="122">
        <v>116.57</v>
      </c>
    </row>
    <row r="10" spans="2:14" outlineLevel="1">
      <c r="B10" s="52" t="s">
        <v>118</v>
      </c>
      <c r="C10" s="2">
        <v>45476</v>
      </c>
      <c r="D10" s="3">
        <v>5</v>
      </c>
      <c r="E10" s="3">
        <f>IFERROR(F10/D10,"")</f>
        <v>7.5</v>
      </c>
      <c r="F10" s="3">
        <v>37.5</v>
      </c>
      <c r="G10" s="8">
        <v>28.26</v>
      </c>
      <c r="H10" s="7">
        <f>(G10*F10)</f>
        <v>1059.75</v>
      </c>
      <c r="I10" s="10">
        <v>900.75</v>
      </c>
      <c r="J10" s="129">
        <f>SUM(I7:I10)</f>
        <v>2990.37</v>
      </c>
      <c r="K10" s="133" t="s">
        <v>263</v>
      </c>
      <c r="L10" s="131">
        <f>H10-I10</f>
        <v>159</v>
      </c>
      <c r="M10" s="15">
        <f>(H10-I10)/H10</f>
        <v>0.15003538570417552</v>
      </c>
      <c r="N10" s="122">
        <v>121.87</v>
      </c>
    </row>
    <row r="11" spans="2:14" outlineLevel="1">
      <c r="B11" s="711" t="s">
        <v>260</v>
      </c>
      <c r="C11" s="712"/>
      <c r="D11" s="712"/>
      <c r="E11" s="712"/>
      <c r="F11" s="712"/>
      <c r="G11" s="712"/>
      <c r="H11" s="712"/>
      <c r="I11" s="712"/>
      <c r="J11" s="712"/>
      <c r="K11" s="712"/>
      <c r="L11" s="712"/>
      <c r="M11" s="712"/>
      <c r="N11" s="713"/>
    </row>
    <row r="12" spans="2:14" outlineLevel="1">
      <c r="B12" s="52" t="s">
        <v>119</v>
      </c>
      <c r="C12" s="2">
        <v>45483</v>
      </c>
      <c r="D12" s="3">
        <v>5</v>
      </c>
      <c r="E12" s="3">
        <f t="shared" ref="E12:E19" si="2">IFERROR(F12/D12,"")</f>
        <v>7.5</v>
      </c>
      <c r="F12" s="3">
        <v>37.5</v>
      </c>
      <c r="G12" s="8">
        <v>29.33</v>
      </c>
      <c r="H12" s="7">
        <f>(G12*F12)</f>
        <v>1099.875</v>
      </c>
      <c r="I12" s="10">
        <v>934.88</v>
      </c>
      <c r="J12" s="127"/>
      <c r="K12" s="133" t="s">
        <v>264</v>
      </c>
      <c r="L12" s="131">
        <f>H12-I12</f>
        <v>164.995</v>
      </c>
      <c r="M12" s="15">
        <f>(H12-I12)/H12</f>
        <v>0.15001250142061598</v>
      </c>
      <c r="N12" s="122">
        <v>126.49</v>
      </c>
    </row>
    <row r="13" spans="2:14" outlineLevel="1">
      <c r="B13" s="52" t="s">
        <v>120</v>
      </c>
      <c r="C13" s="2">
        <v>45490</v>
      </c>
      <c r="D13" s="3">
        <v>5</v>
      </c>
      <c r="E13" s="3">
        <f t="shared" si="2"/>
        <v>7.5</v>
      </c>
      <c r="F13" s="3">
        <v>37.5</v>
      </c>
      <c r="G13" s="8">
        <v>29.33</v>
      </c>
      <c r="H13" s="7">
        <f>(G13*F13)</f>
        <v>1099.875</v>
      </c>
      <c r="I13" s="10">
        <v>934.88</v>
      </c>
      <c r="J13" s="127"/>
      <c r="K13" s="133"/>
      <c r="L13" s="131">
        <f>H13-I13</f>
        <v>164.995</v>
      </c>
      <c r="M13" s="15">
        <f>(H13-I13)/H13</f>
        <v>0.15001250142061598</v>
      </c>
      <c r="N13" s="122">
        <v>126.49</v>
      </c>
    </row>
    <row r="14" spans="2:14" outlineLevel="1">
      <c r="B14" s="669" t="s">
        <v>121</v>
      </c>
      <c r="C14" s="666">
        <v>45497</v>
      </c>
      <c r="D14" s="3">
        <v>5</v>
      </c>
      <c r="E14" s="3">
        <f t="shared" si="2"/>
        <v>7.5</v>
      </c>
      <c r="F14" s="3">
        <v>37.5</v>
      </c>
      <c r="G14" s="8">
        <v>29.33</v>
      </c>
      <c r="H14" s="672">
        <f>((G14*F14)+(G15*F15)+(G16*F16))</f>
        <v>1328.635</v>
      </c>
      <c r="I14" s="677">
        <v>1129.6400000000001</v>
      </c>
      <c r="J14" s="657"/>
      <c r="K14" s="654" t="s">
        <v>265</v>
      </c>
      <c r="L14" s="657">
        <f>(SUM(H14:H16)-I14)</f>
        <v>198.99499999999989</v>
      </c>
      <c r="M14" s="660">
        <f>((H14+H15+H16)-I14)/(H14+H15+H16)</f>
        <v>0.14977401618954783</v>
      </c>
      <c r="N14" s="675">
        <v>126.49</v>
      </c>
    </row>
    <row r="15" spans="2:14" outlineLevel="1">
      <c r="B15" s="671"/>
      <c r="C15" s="667"/>
      <c r="D15" s="3">
        <v>0</v>
      </c>
      <c r="E15" s="3" t="str">
        <f t="shared" si="2"/>
        <v/>
      </c>
      <c r="F15" s="3">
        <v>3</v>
      </c>
      <c r="G15" s="8">
        <v>41.06</v>
      </c>
      <c r="H15" s="673"/>
      <c r="I15" s="714"/>
      <c r="J15" s="658"/>
      <c r="K15" s="655"/>
      <c r="L15" s="658"/>
      <c r="M15" s="662"/>
      <c r="N15" s="708"/>
    </row>
    <row r="16" spans="2:14" outlineLevel="1">
      <c r="B16" s="670"/>
      <c r="C16" s="668"/>
      <c r="D16" s="3">
        <v>0</v>
      </c>
      <c r="E16" s="3" t="str">
        <f t="shared" si="2"/>
        <v/>
      </c>
      <c r="F16" s="3">
        <v>2</v>
      </c>
      <c r="G16" s="8">
        <v>52.79</v>
      </c>
      <c r="H16" s="674"/>
      <c r="I16" s="678"/>
      <c r="J16" s="659"/>
      <c r="K16" s="656"/>
      <c r="L16" s="659"/>
      <c r="M16" s="661"/>
      <c r="N16" s="676"/>
    </row>
    <row r="17" spans="2:14" outlineLevel="1">
      <c r="B17" s="52" t="s">
        <v>122</v>
      </c>
      <c r="C17" s="2">
        <v>45504</v>
      </c>
      <c r="D17" s="3">
        <v>5</v>
      </c>
      <c r="E17" s="3">
        <f t="shared" si="2"/>
        <v>7.5</v>
      </c>
      <c r="F17" s="3">
        <v>37.5</v>
      </c>
      <c r="G17" s="8">
        <v>29.33</v>
      </c>
      <c r="H17" s="7">
        <f>(G17*F17)</f>
        <v>1099.875</v>
      </c>
      <c r="I17" s="10">
        <v>934.88</v>
      </c>
      <c r="J17" s="129">
        <f>SUM(I12:I17)</f>
        <v>3934.28</v>
      </c>
      <c r="K17" s="133"/>
      <c r="L17" s="131">
        <f>H17-I17</f>
        <v>164.995</v>
      </c>
      <c r="M17" s="15">
        <f>(H17-I17)/H17</f>
        <v>0.15001250142061598</v>
      </c>
      <c r="N17" s="122">
        <v>126.49</v>
      </c>
    </row>
    <row r="18" spans="2:14" outlineLevel="1">
      <c r="B18" s="52" t="s">
        <v>123</v>
      </c>
      <c r="C18" s="2">
        <v>45511</v>
      </c>
      <c r="D18" s="3">
        <v>5</v>
      </c>
      <c r="E18" s="3">
        <f t="shared" si="2"/>
        <v>7.5</v>
      </c>
      <c r="F18" s="3">
        <v>37.5</v>
      </c>
      <c r="G18" s="8">
        <v>29.33</v>
      </c>
      <c r="H18" s="7">
        <f>(G18*F18)</f>
        <v>1099.875</v>
      </c>
      <c r="I18" s="10">
        <v>934.88</v>
      </c>
      <c r="J18" s="128"/>
      <c r="K18" s="133"/>
      <c r="L18" s="131">
        <f>H18-I18</f>
        <v>164.995</v>
      </c>
      <c r="M18" s="15">
        <f>(H18-I18)/H18</f>
        <v>0.15001250142061598</v>
      </c>
      <c r="N18" s="122">
        <v>126.49</v>
      </c>
    </row>
    <row r="19" spans="2:14" outlineLevel="1">
      <c r="B19" s="52" t="s">
        <v>124</v>
      </c>
      <c r="C19" s="2">
        <v>45518</v>
      </c>
      <c r="D19" s="3">
        <v>5</v>
      </c>
      <c r="E19" s="3">
        <f t="shared" si="2"/>
        <v>7.5</v>
      </c>
      <c r="F19" s="3">
        <v>37.5</v>
      </c>
      <c r="G19" s="8">
        <v>29.33</v>
      </c>
      <c r="H19" s="7">
        <f>(G19*F19)</f>
        <v>1099.875</v>
      </c>
      <c r="I19" s="10">
        <v>934.88</v>
      </c>
      <c r="J19" s="127"/>
      <c r="K19" s="133"/>
      <c r="L19" s="131">
        <f>H19-I19</f>
        <v>164.995</v>
      </c>
      <c r="M19" s="15">
        <f>(H19-I19)/H19</f>
        <v>0.15001250142061598</v>
      </c>
      <c r="N19" s="122">
        <v>126.49</v>
      </c>
    </row>
    <row r="20" spans="2:14" outlineLevel="1">
      <c r="B20" s="52" t="s">
        <v>125</v>
      </c>
      <c r="C20" s="2">
        <v>45525</v>
      </c>
      <c r="D20" s="3">
        <v>5</v>
      </c>
      <c r="E20" s="3">
        <f t="shared" ref="E20:E21" si="3">IFERROR(F20/D20,"")</f>
        <v>7.5</v>
      </c>
      <c r="F20" s="3">
        <v>37.5</v>
      </c>
      <c r="G20" s="7">
        <v>29.33</v>
      </c>
      <c r="H20" s="8">
        <f>G20*F20</f>
        <v>1099.875</v>
      </c>
      <c r="I20" s="10">
        <v>934.88</v>
      </c>
      <c r="J20" s="13"/>
      <c r="K20" s="110"/>
      <c r="L20" s="131">
        <f>H20-I20</f>
        <v>164.995</v>
      </c>
      <c r="M20" s="15">
        <f>(H20-I20)/H20</f>
        <v>0.15001250142061598</v>
      </c>
      <c r="N20" s="122">
        <v>126.49</v>
      </c>
    </row>
    <row r="21" spans="2:14" outlineLevel="1">
      <c r="B21" s="52" t="s">
        <v>126</v>
      </c>
      <c r="C21" s="2">
        <v>45532</v>
      </c>
      <c r="D21" s="3">
        <v>4</v>
      </c>
      <c r="E21" s="3">
        <f t="shared" si="3"/>
        <v>6.875</v>
      </c>
      <c r="F21" s="3">
        <v>27.5</v>
      </c>
      <c r="G21" s="7">
        <v>29.33</v>
      </c>
      <c r="H21" s="8">
        <f>G21*F21</f>
        <v>806.57499999999993</v>
      </c>
      <c r="I21" s="10">
        <v>685</v>
      </c>
      <c r="J21" s="129">
        <f>SUM(I18:I21)</f>
        <v>3489.64</v>
      </c>
      <c r="K21" s="133" t="s">
        <v>266</v>
      </c>
      <c r="L21" s="131">
        <f>H21-I21</f>
        <v>121.57499999999993</v>
      </c>
      <c r="M21" s="15">
        <f>(H21-I21)/H21</f>
        <v>0.15072993831943707</v>
      </c>
      <c r="N21" s="122">
        <v>93.11</v>
      </c>
    </row>
    <row r="22" spans="2:14">
      <c r="B22" s="68" t="s">
        <v>19</v>
      </c>
      <c r="C22" s="1" t="s">
        <v>21</v>
      </c>
      <c r="D22" s="11">
        <f>AVERAGE(D7:D10,D12:D14,D17:D21)</f>
        <v>4.666666666666667</v>
      </c>
      <c r="E22" s="11">
        <f>AVERAGE(E7:E10,E12:E14,E17:E21)</f>
        <v>7.375</v>
      </c>
      <c r="F22" s="11">
        <f>AVERAGE(F7:F10,F12:F14,F17:F21)</f>
        <v>34.541666666666664</v>
      </c>
      <c r="G22" s="12">
        <f>AVERAGE(G7:G10,G12:G14,G17:G21)</f>
        <v>28.973333333333326</v>
      </c>
      <c r="H22" s="12">
        <f>AVERAGE(H7:H21)</f>
        <v>1021.0691666666668</v>
      </c>
      <c r="I22" s="12">
        <f>AVERAGE(I7:I21)</f>
        <v>867.85749999999996</v>
      </c>
      <c r="J22" s="130">
        <f>AVERAGE(J7:J18,J20:J21)</f>
        <v>3471.43</v>
      </c>
      <c r="K22" s="137" t="s">
        <v>19</v>
      </c>
      <c r="L22" s="132">
        <f>AVERAGE(L7:L21)</f>
        <v>153.21166666666662</v>
      </c>
      <c r="M22" s="17">
        <f>AVERAGE(M1:M21)</f>
        <v>0.15007098009107844</v>
      </c>
      <c r="N22" s="136" t="s">
        <v>19</v>
      </c>
    </row>
    <row r="23" spans="2:14">
      <c r="B23" s="68" t="s">
        <v>19</v>
      </c>
      <c r="C23" s="1" t="s">
        <v>22</v>
      </c>
      <c r="D23" s="11">
        <f>SUM(D7:D10,D12:D14,D17:D21)</f>
        <v>56</v>
      </c>
      <c r="E23" s="11" t="s">
        <v>19</v>
      </c>
      <c r="F23" s="11">
        <f>SUM(F7:F21)</f>
        <v>419.5</v>
      </c>
      <c r="G23" s="11" t="s">
        <v>19</v>
      </c>
      <c r="H23" s="12">
        <f>SUM(H7:H21)</f>
        <v>12252.830000000002</v>
      </c>
      <c r="I23" s="12">
        <f>SUM(I7:I21)</f>
        <v>10414.289999999999</v>
      </c>
      <c r="J23" s="118" t="s">
        <v>19</v>
      </c>
      <c r="K23" s="137" t="s">
        <v>19</v>
      </c>
      <c r="L23" s="132">
        <f>SUM(L7:L19,L20:L21)</f>
        <v>1838.5399999999995</v>
      </c>
      <c r="M23" s="6" t="s">
        <v>19</v>
      </c>
      <c r="N23" s="123">
        <f>SUM(N7:N21)</f>
        <v>1370.86</v>
      </c>
    </row>
    <row r="24" spans="2:14">
      <c r="B24" s="159"/>
      <c r="C24" s="160"/>
      <c r="D24" s="160"/>
      <c r="E24" s="160"/>
      <c r="F24" s="160"/>
      <c r="G24" s="160"/>
      <c r="H24" s="160"/>
      <c r="I24" s="160"/>
      <c r="J24" s="160"/>
      <c r="K24" s="160"/>
      <c r="L24" s="160"/>
      <c r="M24" s="160"/>
      <c r="N24" s="160"/>
    </row>
    <row r="25" spans="2:14">
      <c r="B25" s="159"/>
      <c r="C25" s="160"/>
      <c r="D25" s="160"/>
      <c r="E25" s="160"/>
      <c r="F25" s="160"/>
      <c r="G25" s="160"/>
      <c r="H25" s="160"/>
      <c r="I25" s="160"/>
      <c r="J25" s="160"/>
      <c r="K25" s="160"/>
      <c r="L25" s="160"/>
      <c r="M25" s="160"/>
      <c r="N25" s="160"/>
    </row>
    <row r="26" spans="2:14" ht="24">
      <c r="B26" s="709" t="s">
        <v>271</v>
      </c>
      <c r="C26" s="709"/>
      <c r="D26" s="709"/>
      <c r="E26" s="709"/>
      <c r="F26" s="709"/>
      <c r="G26" s="709"/>
      <c r="H26" s="709"/>
      <c r="I26" s="709"/>
      <c r="J26" s="709"/>
      <c r="K26" s="709"/>
      <c r="L26" s="709"/>
      <c r="M26" s="709"/>
      <c r="N26" s="709"/>
    </row>
    <row r="27" spans="2:14">
      <c r="B27" s="663" t="s">
        <v>0</v>
      </c>
      <c r="C27" s="664"/>
      <c r="D27" s="664"/>
      <c r="E27" s="664"/>
      <c r="F27" s="665"/>
      <c r="G27" s="1" t="s">
        <v>1</v>
      </c>
      <c r="H27" s="710" t="s">
        <v>2</v>
      </c>
      <c r="I27" s="710"/>
      <c r="J27" s="710"/>
      <c r="K27" s="107" t="s">
        <v>3</v>
      </c>
      <c r="L27" s="699" t="s">
        <v>4</v>
      </c>
      <c r="M27" s="700"/>
      <c r="N27" s="120" t="s">
        <v>258</v>
      </c>
    </row>
    <row r="28" spans="2:14">
      <c r="B28" s="52" t="s">
        <v>114</v>
      </c>
      <c r="C28" s="1" t="s">
        <v>269</v>
      </c>
      <c r="D28" s="1" t="s">
        <v>7</v>
      </c>
      <c r="E28" s="1" t="s">
        <v>8</v>
      </c>
      <c r="F28" s="1" t="s">
        <v>9</v>
      </c>
      <c r="G28" s="1" t="s">
        <v>10</v>
      </c>
      <c r="H28" s="121" t="s">
        <v>291</v>
      </c>
      <c r="I28" s="121" t="s">
        <v>290</v>
      </c>
      <c r="J28" s="121" t="s">
        <v>13</v>
      </c>
      <c r="K28" s="121" t="s">
        <v>14</v>
      </c>
      <c r="L28" s="1" t="s">
        <v>15</v>
      </c>
      <c r="M28" s="1" t="s">
        <v>16</v>
      </c>
      <c r="N28" s="121" t="s">
        <v>259</v>
      </c>
    </row>
    <row r="29" spans="2:14" outlineLevel="1">
      <c r="B29" s="52" t="s">
        <v>268</v>
      </c>
      <c r="C29" s="2">
        <v>45547</v>
      </c>
      <c r="D29" s="3">
        <v>14</v>
      </c>
      <c r="E29" s="3">
        <f>IFERROR(F29/D29,"")</f>
        <v>4.9635714285714281</v>
      </c>
      <c r="F29" s="3">
        <v>69.489999999999995</v>
      </c>
      <c r="G29" s="8">
        <v>30</v>
      </c>
      <c r="H29" s="124">
        <f>(G29*F29)</f>
        <v>2084.6999999999998</v>
      </c>
      <c r="I29" s="125">
        <v>1771.7</v>
      </c>
      <c r="J29" s="126"/>
      <c r="K29" s="133"/>
      <c r="L29" s="131">
        <f>H29-I29</f>
        <v>312.99999999999977</v>
      </c>
      <c r="M29" s="15">
        <f>(H29-I29)/H29</f>
        <v>0.15014150717129554</v>
      </c>
      <c r="N29" s="122">
        <v>239.74</v>
      </c>
    </row>
    <row r="30" spans="2:14" outlineLevel="1">
      <c r="B30" s="52" t="s">
        <v>272</v>
      </c>
      <c r="C30" s="2">
        <v>45561</v>
      </c>
      <c r="D30" s="3">
        <v>14</v>
      </c>
      <c r="E30" s="3">
        <f t="shared" ref="E30:E31" si="4">IFERROR(F30/D30,"")</f>
        <v>5.609285714285714</v>
      </c>
      <c r="F30" s="3">
        <v>78.53</v>
      </c>
      <c r="G30" s="8">
        <v>30</v>
      </c>
      <c r="H30" s="7">
        <f t="shared" ref="H30" si="5">(G30*F30)</f>
        <v>2355.9</v>
      </c>
      <c r="I30" s="10">
        <v>2002.9</v>
      </c>
      <c r="J30" s="129"/>
      <c r="K30" s="133"/>
      <c r="L30" s="131">
        <f>H30-I30</f>
        <v>353</v>
      </c>
      <c r="M30" s="15">
        <f>(H30-I30)/H30</f>
        <v>0.14983658050002122</v>
      </c>
      <c r="N30" s="122">
        <v>270.93</v>
      </c>
    </row>
    <row r="31" spans="2:14" outlineLevel="1">
      <c r="B31" s="52" t="s">
        <v>320</v>
      </c>
      <c r="C31" s="2">
        <v>45575</v>
      </c>
      <c r="D31" s="3">
        <v>14</v>
      </c>
      <c r="E31" s="3">
        <f t="shared" si="4"/>
        <v>7.8585714285714285</v>
      </c>
      <c r="F31" s="3">
        <v>110.02</v>
      </c>
      <c r="G31" s="8">
        <v>30</v>
      </c>
      <c r="H31" s="7">
        <v>3300.6</v>
      </c>
      <c r="I31" s="10">
        <v>2805.6</v>
      </c>
      <c r="J31" s="129">
        <f>SUM(I29:I31)</f>
        <v>6580.2000000000007</v>
      </c>
      <c r="K31" s="133"/>
      <c r="L31" s="131">
        <f>H31-I31</f>
        <v>495</v>
      </c>
      <c r="M31" s="15"/>
      <c r="N31" s="122">
        <v>379.57</v>
      </c>
    </row>
    <row r="32" spans="2:14">
      <c r="B32" s="68" t="s">
        <v>19</v>
      </c>
      <c r="C32" s="1" t="s">
        <v>21</v>
      </c>
      <c r="D32" s="11">
        <f>AVERAGE(D29:D31)</f>
        <v>14</v>
      </c>
      <c r="E32" s="11">
        <f>AVERAGE(E29:E31)</f>
        <v>6.1438095238095229</v>
      </c>
      <c r="F32" s="11">
        <f>AVERAGE(F29:F31)</f>
        <v>86.013333333333321</v>
      </c>
      <c r="G32" s="12">
        <f t="shared" ref="G32" si="6">AVERAGE(G29:G30)</f>
        <v>30</v>
      </c>
      <c r="H32" s="12">
        <f>AVERAGE(H29:H31)</f>
        <v>2580.4</v>
      </c>
      <c r="I32" s="12">
        <f>AVERAGE(I29:I31)</f>
        <v>2193.4</v>
      </c>
      <c r="J32" s="130" t="s">
        <v>19</v>
      </c>
      <c r="K32" s="137" t="s">
        <v>19</v>
      </c>
      <c r="L32" s="132">
        <f>AVERAGE(L29:L31)</f>
        <v>386.99999999999994</v>
      </c>
      <c r="M32" s="17">
        <f>AVERAGE(M25:M30)</f>
        <v>0.14998904383565836</v>
      </c>
      <c r="N32" s="136" t="s">
        <v>19</v>
      </c>
    </row>
    <row r="33" spans="2:16">
      <c r="B33" s="68" t="s">
        <v>19</v>
      </c>
      <c r="C33" s="1" t="s">
        <v>22</v>
      </c>
      <c r="D33" s="11">
        <f>SUM(D29:D31)</f>
        <v>42</v>
      </c>
      <c r="E33" s="11" t="s">
        <v>19</v>
      </c>
      <c r="F33" s="11">
        <f>SUM(F29:F31)</f>
        <v>258.03999999999996</v>
      </c>
      <c r="G33" s="11" t="s">
        <v>19</v>
      </c>
      <c r="H33" s="12">
        <f>SUM(H29:H31)</f>
        <v>7741.2000000000007</v>
      </c>
      <c r="I33" s="12">
        <f>SUM(I29:I31)</f>
        <v>6580.2000000000007</v>
      </c>
      <c r="J33" s="130">
        <f>SUM(J29:J31)</f>
        <v>6580.2000000000007</v>
      </c>
      <c r="K33" s="137" t="s">
        <v>19</v>
      </c>
      <c r="L33" s="132">
        <f>SUM(L29:L31)</f>
        <v>1160.9999999999998</v>
      </c>
      <c r="M33" s="6" t="s">
        <v>19</v>
      </c>
      <c r="N33" s="123">
        <f>SUM(N29:N31)</f>
        <v>890.24</v>
      </c>
    </row>
    <row r="34" spans="2:16">
      <c r="B34" s="159"/>
      <c r="C34" s="160"/>
      <c r="D34" s="160"/>
      <c r="E34" s="160"/>
      <c r="F34" s="160"/>
      <c r="G34" s="160"/>
      <c r="H34" s="160"/>
      <c r="I34" s="160"/>
      <c r="J34" s="160"/>
      <c r="K34" s="160"/>
      <c r="L34" s="160"/>
      <c r="M34" s="160"/>
      <c r="N34" s="160"/>
    </row>
    <row r="35" spans="2:16">
      <c r="B35" s="159"/>
      <c r="C35" s="160"/>
      <c r="D35" s="160"/>
      <c r="E35" s="160"/>
      <c r="F35" s="160"/>
      <c r="G35" s="160"/>
      <c r="H35" s="160"/>
      <c r="I35" s="160"/>
      <c r="J35" s="160"/>
      <c r="K35" s="160"/>
      <c r="L35" s="160"/>
      <c r="M35" s="160"/>
      <c r="N35" s="160"/>
    </row>
    <row r="36" spans="2:16" ht="24">
      <c r="B36" s="651" t="s">
        <v>273</v>
      </c>
      <c r="C36" s="652"/>
      <c r="D36" s="652"/>
      <c r="E36" s="652"/>
      <c r="F36" s="652"/>
      <c r="G36" s="652"/>
      <c r="H36" s="652"/>
      <c r="I36" s="652"/>
      <c r="J36" s="652"/>
      <c r="K36" s="652"/>
      <c r="L36" s="652"/>
      <c r="M36" s="652"/>
      <c r="N36" s="652"/>
      <c r="O36" s="652"/>
      <c r="P36" s="653"/>
    </row>
    <row r="37" spans="2:16">
      <c r="B37" s="663" t="s">
        <v>0</v>
      </c>
      <c r="C37" s="664"/>
      <c r="D37" s="664"/>
      <c r="E37" s="664"/>
      <c r="F37" s="665"/>
      <c r="G37" s="240"/>
      <c r="H37" s="1" t="s">
        <v>1</v>
      </c>
      <c r="I37" s="245" t="s">
        <v>2</v>
      </c>
      <c r="J37" s="245"/>
      <c r="K37" s="245"/>
      <c r="L37" s="107" t="s">
        <v>3</v>
      </c>
      <c r="M37" s="246" t="s">
        <v>4</v>
      </c>
      <c r="N37" s="247"/>
      <c r="O37" s="248"/>
      <c r="P37" s="120" t="s">
        <v>258</v>
      </c>
    </row>
    <row r="38" spans="2:16">
      <c r="B38" s="52" t="s">
        <v>114</v>
      </c>
      <c r="C38" s="1" t="s">
        <v>274</v>
      </c>
      <c r="D38" s="1" t="s">
        <v>7</v>
      </c>
      <c r="E38" s="1" t="s">
        <v>8</v>
      </c>
      <c r="F38" s="1" t="s">
        <v>9</v>
      </c>
      <c r="G38" s="121" t="s">
        <v>322</v>
      </c>
      <c r="H38" s="1" t="s">
        <v>10</v>
      </c>
      <c r="I38" s="121" t="s">
        <v>11</v>
      </c>
      <c r="J38" s="121" t="s">
        <v>12</v>
      </c>
      <c r="K38" s="121" t="s">
        <v>13</v>
      </c>
      <c r="L38" s="121" t="s">
        <v>14</v>
      </c>
      <c r="M38" s="1" t="s">
        <v>15</v>
      </c>
      <c r="N38" s="1" t="s">
        <v>16</v>
      </c>
      <c r="O38" s="121" t="s">
        <v>284</v>
      </c>
      <c r="P38" s="121" t="s">
        <v>259</v>
      </c>
    </row>
    <row r="39" spans="2:16" outlineLevel="1">
      <c r="B39" s="52" t="s">
        <v>115</v>
      </c>
      <c r="C39" s="2">
        <v>45683</v>
      </c>
      <c r="D39" s="3">
        <v>5</v>
      </c>
      <c r="E39" s="3">
        <f>IFERROR(F39/D39,"")</f>
        <v>6.6</v>
      </c>
      <c r="F39" s="3">
        <v>33</v>
      </c>
      <c r="G39" s="249">
        <v>33</v>
      </c>
      <c r="H39" s="8">
        <v>25.9</v>
      </c>
      <c r="I39" s="124">
        <f>(H39*F39)</f>
        <v>854.69999999999993</v>
      </c>
      <c r="J39" s="125">
        <v>598.70000000000005</v>
      </c>
      <c r="K39" s="138"/>
      <c r="L39" s="133"/>
      <c r="M39" s="131">
        <f>I39-J39</f>
        <v>255.99999999999989</v>
      </c>
      <c r="N39" s="112">
        <f>(I39-J39)/I39</f>
        <v>0.2995202995202994</v>
      </c>
      <c r="O39" s="149" t="s">
        <v>19</v>
      </c>
      <c r="P39" s="144">
        <v>98.29</v>
      </c>
    </row>
    <row r="40" spans="2:16" outlineLevel="1">
      <c r="B40" s="669" t="s">
        <v>116</v>
      </c>
      <c r="C40" s="666">
        <v>45690</v>
      </c>
      <c r="D40" s="3">
        <v>5</v>
      </c>
      <c r="E40" s="3">
        <f t="shared" ref="E40:E41" si="7">IFERROR(F40/D40,"")</f>
        <v>6</v>
      </c>
      <c r="F40" s="3">
        <v>30</v>
      </c>
      <c r="G40" s="690">
        <f>SUM(F40:F42)</f>
        <v>36</v>
      </c>
      <c r="H40" s="8">
        <v>25.9</v>
      </c>
      <c r="I40" s="672">
        <f>((H40*F40)+(H41*F41)+(H42*F42))</f>
        <v>1061.9000000000001</v>
      </c>
      <c r="J40" s="230">
        <v>743.9</v>
      </c>
      <c r="K40" s="681"/>
      <c r="L40" s="654" t="s">
        <v>275</v>
      </c>
      <c r="M40" s="657">
        <f>I40-J40</f>
        <v>318.00000000000011</v>
      </c>
      <c r="N40" s="660">
        <f>(I40-J40)/I40</f>
        <v>0.29946322629249467</v>
      </c>
      <c r="O40" s="696" t="s">
        <v>19</v>
      </c>
      <c r="P40" s="675">
        <v>89.36</v>
      </c>
    </row>
    <row r="41" spans="2:16" outlineLevel="1">
      <c r="B41" s="671"/>
      <c r="C41" s="667"/>
      <c r="D41" s="3">
        <v>1</v>
      </c>
      <c r="E41" s="3">
        <f t="shared" si="7"/>
        <v>2</v>
      </c>
      <c r="F41" s="3">
        <v>2</v>
      </c>
      <c r="G41" s="692"/>
      <c r="H41" s="8">
        <v>38.85</v>
      </c>
      <c r="I41" s="673"/>
      <c r="J41" s="231"/>
      <c r="K41" s="682"/>
      <c r="L41" s="655"/>
      <c r="M41" s="658"/>
      <c r="N41" s="662"/>
      <c r="O41" s="697"/>
      <c r="P41" s="708"/>
    </row>
    <row r="42" spans="2:16" outlineLevel="1">
      <c r="B42" s="670"/>
      <c r="C42" s="668"/>
      <c r="D42" s="3">
        <v>1</v>
      </c>
      <c r="E42" s="3">
        <f t="shared" ref="E42:E50" si="8">IFERROR(F42/D42,"")</f>
        <v>4</v>
      </c>
      <c r="F42" s="3">
        <v>4</v>
      </c>
      <c r="G42" s="691"/>
      <c r="H42" s="8">
        <v>51.8</v>
      </c>
      <c r="I42" s="674"/>
      <c r="J42" s="134"/>
      <c r="K42" s="683"/>
      <c r="L42" s="656"/>
      <c r="M42" s="659"/>
      <c r="N42" s="661"/>
      <c r="O42" s="698"/>
      <c r="P42" s="676"/>
    </row>
    <row r="43" spans="2:16" outlineLevel="1">
      <c r="B43" s="52" t="s">
        <v>117</v>
      </c>
      <c r="C43" s="2">
        <v>45697</v>
      </c>
      <c r="D43" s="3">
        <v>5</v>
      </c>
      <c r="E43" s="3">
        <f t="shared" si="8"/>
        <v>7.6</v>
      </c>
      <c r="F43" s="3">
        <v>38</v>
      </c>
      <c r="G43" s="244">
        <v>38</v>
      </c>
      <c r="H43" s="8">
        <v>25.9</v>
      </c>
      <c r="I43" s="7">
        <f>(H43*F43)</f>
        <v>984.19999999999993</v>
      </c>
      <c r="J43" s="10">
        <v>836.2</v>
      </c>
      <c r="K43" s="129"/>
      <c r="L43" s="133"/>
      <c r="M43" s="131">
        <f>I43-J43</f>
        <v>147.99999999999989</v>
      </c>
      <c r="N43" s="112">
        <f>(I43-J43)/I43</f>
        <v>0.15037593984962397</v>
      </c>
      <c r="O43" s="149" t="s">
        <v>19</v>
      </c>
      <c r="P43" s="144">
        <v>113.18</v>
      </c>
    </row>
    <row r="44" spans="2:16" outlineLevel="1">
      <c r="B44" s="669" t="s">
        <v>118</v>
      </c>
      <c r="C44" s="666">
        <v>45704</v>
      </c>
      <c r="D44" s="3">
        <v>5</v>
      </c>
      <c r="E44" s="3">
        <f t="shared" si="8"/>
        <v>7.6</v>
      </c>
      <c r="F44" s="3">
        <v>38</v>
      </c>
      <c r="G44" s="690">
        <f>SUM(F44:F45)</f>
        <v>39</v>
      </c>
      <c r="H44" s="8">
        <v>25.9</v>
      </c>
      <c r="I44" s="672">
        <f>((H44*F44)+(H45*F45))</f>
        <v>1023.05</v>
      </c>
      <c r="J44" s="677">
        <v>870.05</v>
      </c>
      <c r="K44" s="679">
        <f>SUM(J39:J45)</f>
        <v>3048.8500000000004</v>
      </c>
      <c r="L44" s="654" t="s">
        <v>276</v>
      </c>
      <c r="M44" s="657">
        <f>I44-J44</f>
        <v>153</v>
      </c>
      <c r="N44" s="660">
        <f>(I44-J44)/I44</f>
        <v>0.14955280778065588</v>
      </c>
      <c r="O44" s="696" t="s">
        <v>19</v>
      </c>
      <c r="P44" s="675">
        <v>113.18</v>
      </c>
    </row>
    <row r="45" spans="2:16" outlineLevel="1">
      <c r="B45" s="670"/>
      <c r="C45" s="668"/>
      <c r="D45" s="3">
        <v>0</v>
      </c>
      <c r="E45" s="3" t="str">
        <f t="shared" si="8"/>
        <v/>
      </c>
      <c r="F45" s="3">
        <v>1</v>
      </c>
      <c r="G45" s="691"/>
      <c r="H45" s="8">
        <v>38.85</v>
      </c>
      <c r="I45" s="674"/>
      <c r="J45" s="678"/>
      <c r="K45" s="680"/>
      <c r="L45" s="656"/>
      <c r="M45" s="659"/>
      <c r="N45" s="661"/>
      <c r="O45" s="698"/>
      <c r="P45" s="676"/>
    </row>
    <row r="46" spans="2:16" outlineLevel="1">
      <c r="B46" s="669" t="s">
        <v>119</v>
      </c>
      <c r="C46" s="666">
        <v>45711</v>
      </c>
      <c r="D46" s="3">
        <v>5</v>
      </c>
      <c r="E46" s="3">
        <f t="shared" si="8"/>
        <v>7.6</v>
      </c>
      <c r="F46" s="3">
        <v>38</v>
      </c>
      <c r="G46" s="690">
        <f>SUM(F46:F48)</f>
        <v>55.5</v>
      </c>
      <c r="H46" s="8">
        <v>25.9</v>
      </c>
      <c r="I46" s="672">
        <f>((H46*F46)+(H47*F47)+(H48*F48))</f>
        <v>1800.0499999999997</v>
      </c>
      <c r="J46" s="230">
        <v>1530.05</v>
      </c>
      <c r="K46" s="687"/>
      <c r="L46" s="654" t="s">
        <v>277</v>
      </c>
      <c r="M46" s="657">
        <f>I46-J46</f>
        <v>269.99999999999977</v>
      </c>
      <c r="N46" s="660">
        <f>(I46-J46)/I46</f>
        <v>0.14999583344907075</v>
      </c>
      <c r="O46" s="696" t="s">
        <v>19</v>
      </c>
      <c r="P46" s="675">
        <v>113.18</v>
      </c>
    </row>
    <row r="47" spans="2:16" outlineLevel="1">
      <c r="B47" s="671"/>
      <c r="C47" s="667"/>
      <c r="D47" s="3">
        <v>1</v>
      </c>
      <c r="E47" s="3">
        <f t="shared" si="8"/>
        <v>7</v>
      </c>
      <c r="F47" s="3">
        <v>7</v>
      </c>
      <c r="G47" s="692"/>
      <c r="H47" s="8">
        <v>38.85</v>
      </c>
      <c r="I47" s="673"/>
      <c r="J47" s="231"/>
      <c r="K47" s="688"/>
      <c r="L47" s="655"/>
      <c r="M47" s="658"/>
      <c r="N47" s="662"/>
      <c r="O47" s="697"/>
      <c r="P47" s="708"/>
    </row>
    <row r="48" spans="2:16" outlineLevel="1">
      <c r="B48" s="670"/>
      <c r="C48" s="668"/>
      <c r="D48" s="3">
        <v>1</v>
      </c>
      <c r="E48" s="3">
        <f t="shared" si="8"/>
        <v>10.5</v>
      </c>
      <c r="F48" s="3">
        <v>10.5</v>
      </c>
      <c r="G48" s="691"/>
      <c r="H48" s="8">
        <v>51.8</v>
      </c>
      <c r="I48" s="674"/>
      <c r="J48" s="134"/>
      <c r="K48" s="689"/>
      <c r="L48" s="656"/>
      <c r="M48" s="659"/>
      <c r="N48" s="661"/>
      <c r="O48" s="698"/>
      <c r="P48" s="676"/>
    </row>
    <row r="49" spans="2:16" outlineLevel="1">
      <c r="B49" s="669" t="s">
        <v>120</v>
      </c>
      <c r="C49" s="666">
        <v>45718</v>
      </c>
      <c r="D49" s="3">
        <v>3</v>
      </c>
      <c r="E49" s="3">
        <f t="shared" si="8"/>
        <v>8</v>
      </c>
      <c r="F49" s="3">
        <v>24</v>
      </c>
      <c r="G49" s="690">
        <f>SUM(F49:F52)</f>
        <v>33</v>
      </c>
      <c r="H49" s="8">
        <v>25.9</v>
      </c>
      <c r="I49" s="672">
        <f>((H49*F49)+(H50*F50)+(H51*F51)+(H52*F52))</f>
        <v>997.14999999999986</v>
      </c>
      <c r="J49" s="230">
        <v>847.15</v>
      </c>
      <c r="K49" s="684"/>
      <c r="L49" s="654" t="s">
        <v>279</v>
      </c>
      <c r="M49" s="657">
        <f>I49-J49</f>
        <v>149.99999999999989</v>
      </c>
      <c r="N49" s="660">
        <f>(I49-J49)/I49</f>
        <v>0.1504287218572932</v>
      </c>
      <c r="O49" s="696" t="s">
        <v>19</v>
      </c>
      <c r="P49" s="675">
        <v>77.44</v>
      </c>
    </row>
    <row r="50" spans="2:16" outlineLevel="1">
      <c r="B50" s="671"/>
      <c r="C50" s="667"/>
      <c r="D50" s="3">
        <v>0</v>
      </c>
      <c r="E50" s="3" t="str">
        <f t="shared" si="8"/>
        <v/>
      </c>
      <c r="F50" s="3">
        <v>2</v>
      </c>
      <c r="G50" s="692"/>
      <c r="H50" s="8">
        <v>25.9</v>
      </c>
      <c r="I50" s="673"/>
      <c r="J50" s="231"/>
      <c r="K50" s="685"/>
      <c r="L50" s="655"/>
      <c r="M50" s="658"/>
      <c r="N50" s="662"/>
      <c r="O50" s="697"/>
      <c r="P50" s="708"/>
    </row>
    <row r="51" spans="2:16" outlineLevel="1">
      <c r="B51" s="671"/>
      <c r="C51" s="667"/>
      <c r="D51" s="3">
        <v>1</v>
      </c>
      <c r="E51" s="3">
        <f t="shared" ref="E51:E71" si="9">IFERROR(F51/D51,"")</f>
        <v>3</v>
      </c>
      <c r="F51" s="3">
        <v>3</v>
      </c>
      <c r="G51" s="692"/>
      <c r="H51" s="7">
        <v>38.85</v>
      </c>
      <c r="I51" s="673"/>
      <c r="J51" s="231"/>
      <c r="K51" s="685"/>
      <c r="L51" s="655"/>
      <c r="M51" s="658"/>
      <c r="N51" s="662"/>
      <c r="O51" s="697"/>
      <c r="P51" s="708"/>
    </row>
    <row r="52" spans="2:16" outlineLevel="1">
      <c r="B52" s="670"/>
      <c r="C52" s="668"/>
      <c r="D52" s="3">
        <v>1</v>
      </c>
      <c r="E52" s="3">
        <f t="shared" si="9"/>
        <v>4</v>
      </c>
      <c r="F52" s="3">
        <v>4</v>
      </c>
      <c r="G52" s="691"/>
      <c r="H52" s="7">
        <v>51.8</v>
      </c>
      <c r="I52" s="674"/>
      <c r="J52" s="134"/>
      <c r="K52" s="686"/>
      <c r="L52" s="656"/>
      <c r="M52" s="659"/>
      <c r="N52" s="661"/>
      <c r="O52" s="698"/>
      <c r="P52" s="676"/>
    </row>
    <row r="53" spans="2:16" outlineLevel="1">
      <c r="B53" s="669" t="s">
        <v>121</v>
      </c>
      <c r="C53" s="666">
        <v>45725</v>
      </c>
      <c r="D53" s="3">
        <v>5</v>
      </c>
      <c r="E53" s="3">
        <f t="shared" si="9"/>
        <v>7.6</v>
      </c>
      <c r="F53" s="3">
        <v>38</v>
      </c>
      <c r="G53" s="690">
        <f>SUM(F53:F54)</f>
        <v>40.5</v>
      </c>
      <c r="H53" s="7">
        <v>25.9</v>
      </c>
      <c r="I53" s="675">
        <f>((H53*F53)+(H54*F54))</f>
        <v>1081.3249999999998</v>
      </c>
      <c r="J53" s="230">
        <v>919.32</v>
      </c>
      <c r="K53" s="684"/>
      <c r="L53" s="654" t="s">
        <v>278</v>
      </c>
      <c r="M53" s="657">
        <f>I53-J53</f>
        <v>162.00499999999977</v>
      </c>
      <c r="N53" s="660">
        <f>(I53-J53)/I53</f>
        <v>0.14982082167710892</v>
      </c>
      <c r="O53" s="696" t="s">
        <v>19</v>
      </c>
      <c r="P53" s="675">
        <v>113.18</v>
      </c>
    </row>
    <row r="54" spans="2:16" outlineLevel="1">
      <c r="B54" s="670"/>
      <c r="C54" s="668"/>
      <c r="D54" s="3">
        <v>0</v>
      </c>
      <c r="E54" s="3" t="str">
        <f t="shared" si="9"/>
        <v/>
      </c>
      <c r="F54" s="3">
        <v>2.5</v>
      </c>
      <c r="G54" s="691"/>
      <c r="H54" s="7">
        <v>38.85</v>
      </c>
      <c r="I54" s="676"/>
      <c r="J54" s="134"/>
      <c r="K54" s="686"/>
      <c r="L54" s="656"/>
      <c r="M54" s="659"/>
      <c r="N54" s="661"/>
      <c r="O54" s="698"/>
      <c r="P54" s="676"/>
    </row>
    <row r="55" spans="2:16" outlineLevel="1">
      <c r="B55" s="669" t="s">
        <v>122</v>
      </c>
      <c r="C55" s="666">
        <v>45732</v>
      </c>
      <c r="D55" s="3">
        <v>4</v>
      </c>
      <c r="E55" s="3">
        <f t="shared" si="9"/>
        <v>8</v>
      </c>
      <c r="F55" s="3">
        <v>32</v>
      </c>
      <c r="G55" s="690">
        <f>SUM(F55:F57)</f>
        <v>46</v>
      </c>
      <c r="H55" s="7">
        <v>25.9</v>
      </c>
      <c r="I55" s="672">
        <f>((H55*F55)+(H56*F56)+(H57*F57))</f>
        <v>1502.1999999999998</v>
      </c>
      <c r="J55" s="230">
        <v>1277.2</v>
      </c>
      <c r="K55" s="657">
        <f>SUM(J46:J57)</f>
        <v>4573.72</v>
      </c>
      <c r="L55" s="654" t="s">
        <v>280</v>
      </c>
      <c r="M55" s="657">
        <f>I55-J55</f>
        <v>224.99999999999977</v>
      </c>
      <c r="N55" s="660">
        <f>(I55-J55)/I55</f>
        <v>0.14978032219411516</v>
      </c>
      <c r="O55" s="696" t="s">
        <v>19</v>
      </c>
      <c r="P55" s="675">
        <v>95.31</v>
      </c>
    </row>
    <row r="56" spans="2:16" outlineLevel="1">
      <c r="B56" s="671"/>
      <c r="C56" s="667"/>
      <c r="D56" s="3">
        <v>1</v>
      </c>
      <c r="E56" s="3">
        <f t="shared" si="9"/>
        <v>4</v>
      </c>
      <c r="F56" s="3">
        <v>4</v>
      </c>
      <c r="G56" s="692"/>
      <c r="H56" s="7">
        <v>38.85</v>
      </c>
      <c r="I56" s="673"/>
      <c r="J56" s="231"/>
      <c r="K56" s="658"/>
      <c r="L56" s="655"/>
      <c r="M56" s="658"/>
      <c r="N56" s="662"/>
      <c r="O56" s="697"/>
      <c r="P56" s="708"/>
    </row>
    <row r="57" spans="2:16" outlineLevel="1">
      <c r="B57" s="670"/>
      <c r="C57" s="668"/>
      <c r="D57" s="3">
        <v>1</v>
      </c>
      <c r="E57" s="3">
        <f t="shared" si="9"/>
        <v>10</v>
      </c>
      <c r="F57" s="3">
        <v>10</v>
      </c>
      <c r="G57" s="691"/>
      <c r="H57" s="7">
        <v>51.8</v>
      </c>
      <c r="I57" s="674"/>
      <c r="J57" s="134"/>
      <c r="K57" s="659"/>
      <c r="L57" s="656"/>
      <c r="M57" s="659"/>
      <c r="N57" s="661"/>
      <c r="O57" s="698"/>
      <c r="P57" s="676"/>
    </row>
    <row r="58" spans="2:16" outlineLevel="1">
      <c r="B58" s="669" t="s">
        <v>123</v>
      </c>
      <c r="C58" s="666">
        <v>45739</v>
      </c>
      <c r="D58" s="3">
        <v>5</v>
      </c>
      <c r="E58" s="3">
        <f t="shared" si="9"/>
        <v>7.6</v>
      </c>
      <c r="F58" s="3">
        <v>38</v>
      </c>
      <c r="G58" s="690">
        <f>SUM(F58:F60)</f>
        <v>65</v>
      </c>
      <c r="H58" s="7">
        <v>25.9</v>
      </c>
      <c r="I58" s="672">
        <f>((H58*F58)+(H59*F59)+(H60*F60))</f>
        <v>2227.4</v>
      </c>
      <c r="J58" s="230">
        <v>1893.4</v>
      </c>
      <c r="K58" s="684"/>
      <c r="L58" s="654" t="s">
        <v>281</v>
      </c>
      <c r="M58" s="657">
        <f>I58-J58</f>
        <v>334</v>
      </c>
      <c r="N58" s="660">
        <f>(I58-J58)/I58</f>
        <v>0.14995061506689414</v>
      </c>
      <c r="O58" s="696" t="s">
        <v>19</v>
      </c>
      <c r="P58" s="675">
        <v>113.18</v>
      </c>
    </row>
    <row r="59" spans="2:16" outlineLevel="1">
      <c r="B59" s="671"/>
      <c r="C59" s="667"/>
      <c r="D59" s="3">
        <v>1</v>
      </c>
      <c r="E59" s="3">
        <f t="shared" si="9"/>
        <v>12</v>
      </c>
      <c r="F59" s="3">
        <v>12</v>
      </c>
      <c r="G59" s="692"/>
      <c r="H59" s="7">
        <v>38.85</v>
      </c>
      <c r="I59" s="673"/>
      <c r="J59" s="231"/>
      <c r="K59" s="685"/>
      <c r="L59" s="655"/>
      <c r="M59" s="658"/>
      <c r="N59" s="662"/>
      <c r="O59" s="697"/>
      <c r="P59" s="708"/>
    </row>
    <row r="60" spans="2:16" outlineLevel="1">
      <c r="B60" s="670"/>
      <c r="C60" s="668"/>
      <c r="D60" s="3">
        <v>1</v>
      </c>
      <c r="E60" s="3">
        <f t="shared" si="9"/>
        <v>15</v>
      </c>
      <c r="F60" s="3">
        <v>15</v>
      </c>
      <c r="G60" s="691"/>
      <c r="H60" s="7">
        <v>51.8</v>
      </c>
      <c r="I60" s="674"/>
      <c r="J60" s="134"/>
      <c r="K60" s="686"/>
      <c r="L60" s="656"/>
      <c r="M60" s="659"/>
      <c r="N60" s="661"/>
      <c r="O60" s="698"/>
      <c r="P60" s="676"/>
    </row>
    <row r="61" spans="2:16" outlineLevel="1">
      <c r="B61" s="669" t="s">
        <v>124</v>
      </c>
      <c r="C61" s="666">
        <v>45746</v>
      </c>
      <c r="D61" s="3">
        <v>5</v>
      </c>
      <c r="E61" s="3">
        <f t="shared" si="9"/>
        <v>7.6</v>
      </c>
      <c r="F61" s="3">
        <v>38</v>
      </c>
      <c r="G61" s="690">
        <f>SUM(F61:F62)</f>
        <v>43</v>
      </c>
      <c r="H61" s="7">
        <v>25.9</v>
      </c>
      <c r="I61" s="672">
        <f>((H61*F61)+(H62*F62))</f>
        <v>1178.4499999999998</v>
      </c>
      <c r="J61" s="230">
        <v>1001.45</v>
      </c>
      <c r="K61" s="684"/>
      <c r="L61" s="654" t="s">
        <v>282</v>
      </c>
      <c r="M61" s="657">
        <f>I61-J61</f>
        <v>176.99999999999977</v>
      </c>
      <c r="N61" s="660">
        <f>(I61-J61)/I61</f>
        <v>0.15019729305443574</v>
      </c>
      <c r="O61" s="696" t="s">
        <v>19</v>
      </c>
      <c r="P61" s="675">
        <v>113.18</v>
      </c>
    </row>
    <row r="62" spans="2:16" outlineLevel="1">
      <c r="B62" s="670"/>
      <c r="C62" s="668"/>
      <c r="D62" s="3">
        <v>1</v>
      </c>
      <c r="E62" s="3">
        <f t="shared" si="9"/>
        <v>5</v>
      </c>
      <c r="F62" s="3">
        <v>5</v>
      </c>
      <c r="G62" s="691"/>
      <c r="H62" s="7">
        <v>38.85</v>
      </c>
      <c r="I62" s="674"/>
      <c r="J62" s="134"/>
      <c r="K62" s="686"/>
      <c r="L62" s="656"/>
      <c r="M62" s="659"/>
      <c r="N62" s="661"/>
      <c r="O62" s="698"/>
      <c r="P62" s="676"/>
    </row>
    <row r="63" spans="2:16" outlineLevel="1">
      <c r="B63" s="693" t="s">
        <v>283</v>
      </c>
      <c r="C63" s="694"/>
      <c r="D63" s="694"/>
      <c r="E63" s="694"/>
      <c r="F63" s="694"/>
      <c r="G63" s="694"/>
      <c r="H63" s="694"/>
      <c r="I63" s="694"/>
      <c r="J63" s="694"/>
      <c r="K63" s="694"/>
      <c r="L63" s="694"/>
      <c r="M63" s="694"/>
      <c r="N63" s="694"/>
      <c r="O63" s="694"/>
      <c r="P63" s="695"/>
    </row>
    <row r="64" spans="2:16" outlineLevel="1">
      <c r="B64" s="139" t="s">
        <v>125</v>
      </c>
      <c r="C64" s="140">
        <v>45751</v>
      </c>
      <c r="D64" s="3">
        <v>5</v>
      </c>
      <c r="E64" s="3">
        <f t="shared" si="9"/>
        <v>7.8</v>
      </c>
      <c r="F64" s="3">
        <v>39</v>
      </c>
      <c r="G64" s="244">
        <f t="shared" ref="G64:G71" si="10">F64</f>
        <v>39</v>
      </c>
      <c r="H64" s="7">
        <v>25.9</v>
      </c>
      <c r="I64" s="135">
        <f>F64*H64</f>
        <v>1010.0999999999999</v>
      </c>
      <c r="J64" s="134"/>
      <c r="K64" s="141"/>
      <c r="L64" s="148" t="s">
        <v>19</v>
      </c>
      <c r="M64" s="142" t="s">
        <v>19</v>
      </c>
      <c r="N64" s="143">
        <f>AVERAGE(N43:N62)</f>
        <v>0.15001279436614973</v>
      </c>
      <c r="O64" s="122">
        <f t="shared" ref="O64:O71" si="11">I64*N64</f>
        <v>151.52792358924782</v>
      </c>
      <c r="P64" s="145" t="s">
        <v>19</v>
      </c>
    </row>
    <row r="65" spans="2:16" outlineLevel="1">
      <c r="B65" s="139" t="s">
        <v>126</v>
      </c>
      <c r="C65" s="140">
        <v>45758</v>
      </c>
      <c r="D65" s="3">
        <v>5</v>
      </c>
      <c r="E65" s="3">
        <f t="shared" si="9"/>
        <v>7.9319999999999995</v>
      </c>
      <c r="F65" s="3">
        <v>39.659999999999997</v>
      </c>
      <c r="G65" s="244">
        <f t="shared" si="10"/>
        <v>39.659999999999997</v>
      </c>
      <c r="H65" s="7">
        <v>25.9</v>
      </c>
      <c r="I65" s="135">
        <f t="shared" ref="I65:I71" si="12">H65*F65</f>
        <v>1027.194</v>
      </c>
      <c r="J65" s="134"/>
      <c r="K65" s="150"/>
      <c r="L65" s="148" t="s">
        <v>19</v>
      </c>
      <c r="M65" s="142" t="s">
        <v>19</v>
      </c>
      <c r="N65" s="143">
        <f>AVERAGE(N43:N62)</f>
        <v>0.15001279436614973</v>
      </c>
      <c r="O65" s="122">
        <f t="shared" si="11"/>
        <v>154.09224229614279</v>
      </c>
      <c r="P65" s="145" t="s">
        <v>19</v>
      </c>
    </row>
    <row r="66" spans="2:16" outlineLevel="1">
      <c r="B66" s="139" t="s">
        <v>127</v>
      </c>
      <c r="C66" s="140">
        <v>45764</v>
      </c>
      <c r="D66" s="3">
        <v>4</v>
      </c>
      <c r="E66" s="3">
        <f t="shared" si="9"/>
        <v>7.6875</v>
      </c>
      <c r="F66" s="3">
        <v>30.75</v>
      </c>
      <c r="G66" s="244">
        <f t="shared" si="10"/>
        <v>30.75</v>
      </c>
      <c r="H66" s="7">
        <v>25.9</v>
      </c>
      <c r="I66" s="135">
        <f t="shared" si="12"/>
        <v>796.42499999999995</v>
      </c>
      <c r="J66" s="134"/>
      <c r="K66" s="141"/>
      <c r="L66" s="148" t="s">
        <v>19</v>
      </c>
      <c r="M66" s="142" t="s">
        <v>19</v>
      </c>
      <c r="N66" s="143">
        <f>AVERAGE(N43:N62)</f>
        <v>0.15001279436614973</v>
      </c>
      <c r="O66" s="122">
        <f t="shared" si="11"/>
        <v>119.47393975306079</v>
      </c>
      <c r="P66" s="145" t="s">
        <v>19</v>
      </c>
    </row>
    <row r="67" spans="2:16" outlineLevel="1">
      <c r="B67" s="139" t="s">
        <v>128</v>
      </c>
      <c r="C67" s="140">
        <v>45771</v>
      </c>
      <c r="D67" s="3">
        <v>3</v>
      </c>
      <c r="E67" s="3">
        <f t="shared" si="9"/>
        <v>7.75</v>
      </c>
      <c r="F67" s="3">
        <v>23.25</v>
      </c>
      <c r="G67" s="244">
        <f t="shared" si="10"/>
        <v>23.25</v>
      </c>
      <c r="H67" s="7">
        <v>25.9</v>
      </c>
      <c r="I67" s="135">
        <f t="shared" si="12"/>
        <v>602.17499999999995</v>
      </c>
      <c r="J67" s="134"/>
      <c r="K67" s="141"/>
      <c r="L67" s="148" t="s">
        <v>19</v>
      </c>
      <c r="M67" s="142" t="s">
        <v>19</v>
      </c>
      <c r="N67" s="143">
        <f>AVERAGE(N43:N62)</f>
        <v>0.15001279436614973</v>
      </c>
      <c r="O67" s="122">
        <f t="shared" si="11"/>
        <v>90.333954447436199</v>
      </c>
      <c r="P67" s="145" t="s">
        <v>19</v>
      </c>
    </row>
    <row r="68" spans="2:16" outlineLevel="1">
      <c r="B68" s="139" t="s">
        <v>129</v>
      </c>
      <c r="C68" s="140">
        <v>45779</v>
      </c>
      <c r="D68" s="3">
        <v>4</v>
      </c>
      <c r="E68" s="3">
        <f t="shared" si="9"/>
        <v>7.25</v>
      </c>
      <c r="F68" s="3">
        <v>29</v>
      </c>
      <c r="G68" s="244">
        <f t="shared" si="10"/>
        <v>29</v>
      </c>
      <c r="H68" s="7">
        <v>25.9</v>
      </c>
      <c r="I68" s="135">
        <f t="shared" si="12"/>
        <v>751.09999999999991</v>
      </c>
      <c r="J68" s="134"/>
      <c r="K68" s="141"/>
      <c r="L68" s="148" t="s">
        <v>19</v>
      </c>
      <c r="M68" s="142" t="s">
        <v>19</v>
      </c>
      <c r="N68" s="143">
        <f>AVERAGE(N43:N62)</f>
        <v>0.15001279436614973</v>
      </c>
      <c r="O68" s="122">
        <f t="shared" si="11"/>
        <v>112.67460984841505</v>
      </c>
      <c r="P68" s="145" t="s">
        <v>19</v>
      </c>
    </row>
    <row r="69" spans="2:16" outlineLevel="1">
      <c r="B69" s="139" t="s">
        <v>130</v>
      </c>
      <c r="C69" s="140">
        <v>45786</v>
      </c>
      <c r="D69" s="3">
        <v>5</v>
      </c>
      <c r="E69" s="3">
        <f t="shared" si="9"/>
        <v>7.45</v>
      </c>
      <c r="F69" s="3">
        <v>37.25</v>
      </c>
      <c r="G69" s="244">
        <f t="shared" si="10"/>
        <v>37.25</v>
      </c>
      <c r="H69" s="7">
        <v>25.9</v>
      </c>
      <c r="I69" s="135">
        <f t="shared" si="12"/>
        <v>964.77499999999998</v>
      </c>
      <c r="J69" s="134"/>
      <c r="K69" s="150"/>
      <c r="L69" s="148" t="s">
        <v>19</v>
      </c>
      <c r="M69" s="142" t="s">
        <v>19</v>
      </c>
      <c r="N69" s="143">
        <f>AVERAGE(N43:N62)</f>
        <v>0.15001279436614973</v>
      </c>
      <c r="O69" s="122">
        <f t="shared" si="11"/>
        <v>144.72859368460209</v>
      </c>
      <c r="P69" s="145" t="s">
        <v>19</v>
      </c>
    </row>
    <row r="70" spans="2:16" outlineLevel="1">
      <c r="B70" s="139" t="s">
        <v>131</v>
      </c>
      <c r="C70" s="140">
        <v>45793</v>
      </c>
      <c r="D70" s="3">
        <v>4</v>
      </c>
      <c r="E70" s="3">
        <f t="shared" si="9"/>
        <v>7.1875</v>
      </c>
      <c r="F70" s="3">
        <v>28.75</v>
      </c>
      <c r="G70" s="244">
        <f t="shared" si="10"/>
        <v>28.75</v>
      </c>
      <c r="H70" s="7">
        <v>25.9</v>
      </c>
      <c r="I70" s="135">
        <f t="shared" si="12"/>
        <v>744.625</v>
      </c>
      <c r="J70" s="134"/>
      <c r="K70" s="141"/>
      <c r="L70" s="148" t="s">
        <v>19</v>
      </c>
      <c r="M70" s="142" t="s">
        <v>19</v>
      </c>
      <c r="N70" s="143">
        <f>AVERAGE(N43:N62)</f>
        <v>0.15001279436614973</v>
      </c>
      <c r="O70" s="151">
        <f t="shared" si="11"/>
        <v>111.70327700489425</v>
      </c>
      <c r="P70" s="145" t="s">
        <v>19</v>
      </c>
    </row>
    <row r="71" spans="2:16" outlineLevel="1">
      <c r="B71" s="139" t="s">
        <v>132</v>
      </c>
      <c r="C71" s="140">
        <v>45801</v>
      </c>
      <c r="D71" s="3">
        <v>6</v>
      </c>
      <c r="E71" s="3">
        <f t="shared" si="9"/>
        <v>7.666666666666667</v>
      </c>
      <c r="F71" s="3">
        <v>46</v>
      </c>
      <c r="G71" s="244">
        <f t="shared" si="10"/>
        <v>46</v>
      </c>
      <c r="H71" s="7">
        <v>25.9</v>
      </c>
      <c r="I71" s="135">
        <f t="shared" si="12"/>
        <v>1191.3999999999999</v>
      </c>
      <c r="J71" s="134"/>
      <c r="K71" s="141"/>
      <c r="L71" s="148" t="s">
        <v>285</v>
      </c>
      <c r="M71" s="142" t="s">
        <v>19</v>
      </c>
      <c r="N71" s="143">
        <f>AVERAGE(N43:N62)</f>
        <v>0.15001279436614973</v>
      </c>
      <c r="O71" s="122">
        <f t="shared" si="11"/>
        <v>178.72524320783077</v>
      </c>
      <c r="P71" s="145" t="s">
        <v>19</v>
      </c>
    </row>
    <row r="72" spans="2:16">
      <c r="B72" s="68" t="s">
        <v>19</v>
      </c>
      <c r="C72" s="1" t="s">
        <v>21</v>
      </c>
      <c r="D72" s="11">
        <f>AVERAGE(D39:D40,D43:D44,D46,D53,D55,D58,D61,D64:D71)</f>
        <v>4.7058823529411766</v>
      </c>
      <c r="E72" s="11">
        <f>AVERAGE(E39:E44,E46:E49,E51:E53,E55:E62,E64:E71)</f>
        <v>7.2904712643678149</v>
      </c>
      <c r="F72" s="11">
        <f>AVERAGE(F39,(F40+F41+F42),F43,(F44+F45),(F46+F47+F48),(F49+F50+F51+F52),(F53+F54),(F55+F56+F57),(F58+F59+F60),(F61+F62),F64:F71)</f>
        <v>39.036666666666662</v>
      </c>
      <c r="G72" s="110"/>
      <c r="H72" s="12">
        <f>AVERAGE(H39:H40,H43:H44,H46,H49:H50,H53)</f>
        <v>25.900000000000002</v>
      </c>
      <c r="I72" s="12">
        <f>AVERAGE(I39:I71)</f>
        <v>1099.9010555555556</v>
      </c>
      <c r="J72" s="12">
        <f>AVERAGE(J39:J71)</f>
        <v>1051.742</v>
      </c>
      <c r="K72" s="130">
        <f>AVERAGE(K39:K71)</f>
        <v>3811.2850000000003</v>
      </c>
      <c r="L72" s="137" t="s">
        <v>286</v>
      </c>
      <c r="M72" s="132">
        <f>AVERAGE(M39:M71)</f>
        <v>219.30049999999989</v>
      </c>
      <c r="N72" s="113">
        <f>AVERAGE(N39:N71)</f>
        <v>0.16662156864839936</v>
      </c>
      <c r="O72" s="137" t="s">
        <v>19</v>
      </c>
      <c r="P72" s="146" t="s">
        <v>19</v>
      </c>
    </row>
    <row r="73" spans="2:16">
      <c r="B73" s="68" t="s">
        <v>19</v>
      </c>
      <c r="C73" s="1" t="s">
        <v>22</v>
      </c>
      <c r="D73" s="11">
        <f>SUM(D39:D71)</f>
        <v>94</v>
      </c>
      <c r="E73" s="11" t="s">
        <v>19</v>
      </c>
      <c r="F73" s="11">
        <f>SUM(F39:F71)</f>
        <v>702.66</v>
      </c>
      <c r="G73" s="110"/>
      <c r="H73" s="11" t="s">
        <v>19</v>
      </c>
      <c r="I73" s="12">
        <f>SUM(I39:I71)</f>
        <v>19798.219000000001</v>
      </c>
      <c r="J73" s="12">
        <f>SUM(J39:J71)</f>
        <v>10517.42</v>
      </c>
      <c r="K73" s="118" t="s">
        <v>19</v>
      </c>
      <c r="L73" s="137" t="s">
        <v>19</v>
      </c>
      <c r="M73" s="132">
        <f>SUM(M39:M71)</f>
        <v>2193.0049999999987</v>
      </c>
      <c r="N73" s="114" t="s">
        <v>19</v>
      </c>
      <c r="O73" s="123">
        <f>SUM(O64:O71)</f>
        <v>1063.2597838316296</v>
      </c>
      <c r="P73" s="147">
        <f>SUM(P39:P71)</f>
        <v>1039.4800000000002</v>
      </c>
    </row>
    <row r="74" spans="2:16">
      <c r="B74" s="719" t="s">
        <v>260</v>
      </c>
      <c r="C74" s="719"/>
      <c r="D74" s="719"/>
      <c r="E74" s="719"/>
      <c r="F74" s="719"/>
      <c r="G74" s="719"/>
      <c r="H74" s="719"/>
      <c r="I74" s="719"/>
      <c r="J74" s="719"/>
      <c r="K74" s="719"/>
      <c r="L74" s="229"/>
      <c r="M74" s="229"/>
      <c r="N74" s="229"/>
      <c r="O74" s="229"/>
      <c r="P74" s="229"/>
    </row>
    <row r="75" spans="2:16">
      <c r="B75" s="238"/>
      <c r="C75" s="239"/>
      <c r="D75" s="239"/>
      <c r="E75" s="239"/>
      <c r="F75" s="239"/>
      <c r="G75" s="239"/>
      <c r="H75" s="239"/>
      <c r="I75" s="239"/>
      <c r="J75" s="239"/>
      <c r="K75" s="239"/>
      <c r="L75" s="229"/>
      <c r="M75" s="229"/>
      <c r="N75" s="229"/>
      <c r="O75" s="229"/>
      <c r="P75" s="229"/>
    </row>
    <row r="76" spans="2:16" ht="24">
      <c r="B76" s="723" t="s">
        <v>317</v>
      </c>
      <c r="C76" s="724"/>
      <c r="D76" s="724"/>
      <c r="E76" s="724"/>
      <c r="F76" s="724"/>
      <c r="G76" s="724"/>
      <c r="H76" s="724"/>
      <c r="I76" s="724"/>
      <c r="J76" s="724"/>
      <c r="K76" s="724"/>
      <c r="L76" s="724"/>
      <c r="M76" s="724"/>
      <c r="N76" s="724"/>
      <c r="O76" s="725"/>
    </row>
    <row r="77" spans="2:16">
      <c r="B77" s="265" t="s">
        <v>0</v>
      </c>
      <c r="C77" s="266"/>
      <c r="D77" s="266"/>
      <c r="E77" s="266"/>
      <c r="F77" s="266"/>
      <c r="G77" s="240" t="s">
        <v>1</v>
      </c>
      <c r="H77" s="720" t="s">
        <v>2</v>
      </c>
      <c r="I77" s="721"/>
      <c r="J77" s="722"/>
      <c r="K77" s="51" t="s">
        <v>3</v>
      </c>
      <c r="L77" s="699" t="s">
        <v>4</v>
      </c>
      <c r="M77" s="700"/>
      <c r="N77" s="254" t="s">
        <v>258</v>
      </c>
    </row>
    <row r="78" spans="2:16">
      <c r="B78" s="241" t="s">
        <v>114</v>
      </c>
      <c r="C78" s="241" t="s">
        <v>318</v>
      </c>
      <c r="D78" s="1" t="s">
        <v>7</v>
      </c>
      <c r="E78" s="1" t="s">
        <v>8</v>
      </c>
      <c r="F78" s="1" t="s">
        <v>9</v>
      </c>
      <c r="G78" s="121" t="s">
        <v>10</v>
      </c>
      <c r="H78" s="121" t="s">
        <v>323</v>
      </c>
      <c r="I78" s="253" t="s">
        <v>319</v>
      </c>
      <c r="J78" s="121" t="s">
        <v>324</v>
      </c>
      <c r="K78" s="1" t="s">
        <v>14</v>
      </c>
      <c r="L78" s="1" t="s">
        <v>15</v>
      </c>
      <c r="M78" s="1" t="s">
        <v>16</v>
      </c>
      <c r="N78" s="1" t="s">
        <v>259</v>
      </c>
    </row>
    <row r="79" spans="2:16" outlineLevel="1">
      <c r="B79" s="242" t="s">
        <v>115</v>
      </c>
      <c r="C79" s="243">
        <v>45834</v>
      </c>
      <c r="D79" s="3">
        <v>4</v>
      </c>
      <c r="E79" s="3">
        <f>IFERROR(F79/D79,"")</f>
        <v>7.75</v>
      </c>
      <c r="F79" s="3">
        <v>31</v>
      </c>
      <c r="G79" s="122">
        <v>34</v>
      </c>
      <c r="H79" s="8">
        <v>1141.76</v>
      </c>
      <c r="I79" s="8">
        <v>970.76</v>
      </c>
      <c r="J79" s="251"/>
      <c r="K79" s="4" t="s">
        <v>325</v>
      </c>
      <c r="L79" s="8">
        <f>H79-I79</f>
        <v>171</v>
      </c>
      <c r="M79" s="15">
        <f>(H79-I79)/H79</f>
        <v>0.14976877802690583</v>
      </c>
      <c r="N79" s="122">
        <v>121.21</v>
      </c>
    </row>
    <row r="80" spans="2:16" outlineLevel="1">
      <c r="B80" s="242" t="s">
        <v>116</v>
      </c>
      <c r="C80" s="243">
        <v>45841</v>
      </c>
      <c r="D80" s="3">
        <v>3</v>
      </c>
      <c r="E80" s="3">
        <f t="shared" ref="E80" si="13">IFERROR(F80/D80,"")</f>
        <v>6.666666666666667</v>
      </c>
      <c r="F80" s="3">
        <v>20</v>
      </c>
      <c r="G80" s="122">
        <v>34</v>
      </c>
      <c r="H80" s="8">
        <v>745.82</v>
      </c>
      <c r="I80" s="8">
        <v>633.82000000000005</v>
      </c>
      <c r="J80" s="251"/>
      <c r="K80" s="263" t="s">
        <v>326</v>
      </c>
      <c r="L80" s="8">
        <f>H80-I80</f>
        <v>112</v>
      </c>
      <c r="M80" s="15">
        <f>(H80-I80)/H80</f>
        <v>0.15017028237376309</v>
      </c>
      <c r="N80" s="122">
        <v>81.599999999999994</v>
      </c>
    </row>
    <row r="81" spans="2:15" outlineLevel="1">
      <c r="B81" s="738" t="s">
        <v>260</v>
      </c>
      <c r="C81" s="739"/>
      <c r="D81" s="739"/>
      <c r="E81" s="739"/>
      <c r="F81" s="739"/>
      <c r="G81" s="739"/>
      <c r="H81" s="739"/>
      <c r="I81" s="739"/>
      <c r="J81" s="739"/>
      <c r="K81" s="739"/>
      <c r="L81" s="739"/>
      <c r="M81" s="739"/>
      <c r="N81" s="740"/>
    </row>
    <row r="82" spans="2:15" outlineLevel="1">
      <c r="B82" s="726" t="s">
        <v>117</v>
      </c>
      <c r="C82" s="729">
        <v>45848</v>
      </c>
      <c r="D82" s="3">
        <v>3</v>
      </c>
      <c r="E82" s="3">
        <f t="shared" ref="E82:E86" si="14">IFERROR(F82/D82,"")</f>
        <v>7.5</v>
      </c>
      <c r="F82" s="3">
        <v>22.5</v>
      </c>
      <c r="G82" s="122">
        <v>34</v>
      </c>
      <c r="H82" s="657">
        <v>1251.02</v>
      </c>
      <c r="I82" s="657">
        <v>1066.02</v>
      </c>
      <c r="J82" s="732"/>
      <c r="K82" s="735" t="s">
        <v>326</v>
      </c>
      <c r="L82" s="657">
        <f>H82-I82</f>
        <v>185</v>
      </c>
      <c r="M82" s="660">
        <f>(H82-I82)/H82</f>
        <v>0.14787933046633947</v>
      </c>
      <c r="N82" s="675">
        <v>91.8</v>
      </c>
    </row>
    <row r="83" spans="2:15" outlineLevel="1">
      <c r="B83" s="727"/>
      <c r="C83" s="730"/>
      <c r="D83" s="3">
        <v>1</v>
      </c>
      <c r="E83" s="3">
        <f t="shared" si="14"/>
        <v>2</v>
      </c>
      <c r="F83" s="3">
        <v>2</v>
      </c>
      <c r="G83" s="122">
        <v>47.6</v>
      </c>
      <c r="H83" s="658"/>
      <c r="I83" s="658"/>
      <c r="J83" s="733"/>
      <c r="K83" s="736"/>
      <c r="L83" s="658"/>
      <c r="M83" s="662"/>
      <c r="N83" s="708"/>
    </row>
    <row r="84" spans="2:15" outlineLevel="1">
      <c r="B84" s="728"/>
      <c r="C84" s="731"/>
      <c r="D84" s="3">
        <v>1</v>
      </c>
      <c r="E84" s="3">
        <f t="shared" si="14"/>
        <v>5</v>
      </c>
      <c r="F84" s="3">
        <v>5</v>
      </c>
      <c r="G84" s="122">
        <v>61.2</v>
      </c>
      <c r="H84" s="659"/>
      <c r="I84" s="659"/>
      <c r="J84" s="734"/>
      <c r="K84" s="737"/>
      <c r="L84" s="659"/>
      <c r="M84" s="661"/>
      <c r="N84" s="676"/>
    </row>
    <row r="85" spans="2:15" outlineLevel="1">
      <c r="B85" s="242" t="s">
        <v>118</v>
      </c>
      <c r="C85" s="243">
        <v>45855</v>
      </c>
      <c r="D85" s="3">
        <v>1</v>
      </c>
      <c r="E85" s="3">
        <f t="shared" si="14"/>
        <v>8</v>
      </c>
      <c r="F85" s="3">
        <v>8</v>
      </c>
      <c r="G85" s="122">
        <v>34</v>
      </c>
      <c r="H85" s="8">
        <v>293.94</v>
      </c>
      <c r="I85" s="8">
        <v>249.94</v>
      </c>
      <c r="J85" s="8"/>
      <c r="K85" s="263" t="s">
        <v>328</v>
      </c>
      <c r="L85" s="8">
        <f>H85-I85</f>
        <v>44</v>
      </c>
      <c r="M85" s="15">
        <f>(H85-I85)/H85</f>
        <v>0.14969041300945771</v>
      </c>
      <c r="N85" s="122">
        <v>32.64</v>
      </c>
    </row>
    <row r="86" spans="2:15" outlineLevel="1">
      <c r="B86" s="242" t="s">
        <v>119</v>
      </c>
      <c r="C86" s="243">
        <v>45862</v>
      </c>
      <c r="D86" s="3">
        <v>1</v>
      </c>
      <c r="E86" s="3">
        <f t="shared" si="14"/>
        <v>7</v>
      </c>
      <c r="F86" s="3">
        <v>7</v>
      </c>
      <c r="G86" s="122">
        <v>34</v>
      </c>
      <c r="H86" s="8">
        <v>259.94</v>
      </c>
      <c r="I86" s="8">
        <v>220.94</v>
      </c>
      <c r="J86" s="251"/>
      <c r="K86" s="263" t="s">
        <v>328</v>
      </c>
      <c r="L86" s="8">
        <f>H86-I86</f>
        <v>39</v>
      </c>
      <c r="M86" s="15">
        <f>(H86-I86)/H86</f>
        <v>0.15003462337462492</v>
      </c>
      <c r="N86" s="122">
        <v>28.56</v>
      </c>
    </row>
    <row r="87" spans="2:15" ht="36">
      <c r="B87" s="255" t="s">
        <v>19</v>
      </c>
      <c r="C87" s="253" t="s">
        <v>21</v>
      </c>
      <c r="D87" s="252"/>
      <c r="E87" s="256"/>
      <c r="F87" s="256" t="s">
        <v>19</v>
      </c>
      <c r="G87" s="257">
        <f>AVERAGE(G79,G82:G86)</f>
        <v>40.800000000000004</v>
      </c>
      <c r="H87" s="258">
        <f>AVERAGE(H80:H86)</f>
        <v>637.68000000000006</v>
      </c>
      <c r="I87" s="259">
        <f>AVERAGE(I79,I82:I86)</f>
        <v>626.91499999999996</v>
      </c>
      <c r="J87" s="260" t="s">
        <v>19</v>
      </c>
      <c r="K87" s="268" t="s">
        <v>330</v>
      </c>
      <c r="L87" s="257">
        <f>AVERAGE(L82:L86)</f>
        <v>89.333333333333329</v>
      </c>
      <c r="M87" s="264">
        <f>AVERAGE(M79,M82:M86)</f>
        <v>0.14934328621933199</v>
      </c>
      <c r="N87" s="137" t="s">
        <v>19</v>
      </c>
    </row>
    <row r="88" spans="2:15">
      <c r="B88" s="261" t="s">
        <v>19</v>
      </c>
      <c r="C88" s="121" t="s">
        <v>22</v>
      </c>
      <c r="D88" s="252"/>
      <c r="E88" s="256"/>
      <c r="F88" s="256" t="s">
        <v>327</v>
      </c>
      <c r="G88" s="137" t="s">
        <v>19</v>
      </c>
      <c r="H88" s="258">
        <f>SUM(H79,H80:H86)</f>
        <v>3692.48</v>
      </c>
      <c r="I88" s="258">
        <f>SUM(I79,I80:I86)</f>
        <v>3141.48</v>
      </c>
      <c r="J88" s="262" t="s">
        <v>19</v>
      </c>
      <c r="K88" s="267" t="s">
        <v>329</v>
      </c>
      <c r="L88" s="257">
        <f>SUM(L82:L86)</f>
        <v>268</v>
      </c>
      <c r="M88" s="137" t="s">
        <v>19</v>
      </c>
      <c r="N88" s="257">
        <f>SUM(N79,N82:N86)</f>
        <v>274.20999999999998</v>
      </c>
    </row>
    <row r="90" spans="2:15">
      <c r="B90" s="237"/>
      <c r="C90" s="237"/>
      <c r="D90" s="237"/>
      <c r="E90" s="237"/>
      <c r="F90" s="237"/>
      <c r="G90" s="237"/>
      <c r="H90" s="237"/>
      <c r="I90" s="237"/>
      <c r="J90" s="237"/>
      <c r="K90" s="237"/>
    </row>
    <row r="91" spans="2:15">
      <c r="B91" s="232"/>
      <c r="C91" s="233"/>
      <c r="D91" s="233"/>
      <c r="E91" s="233"/>
      <c r="F91" s="233"/>
      <c r="G91" s="233"/>
      <c r="H91" s="233"/>
      <c r="I91" s="233"/>
      <c r="J91" s="233"/>
      <c r="K91" s="233"/>
    </row>
    <row r="92" spans="2:15" ht="24">
      <c r="B92" s="705" t="s">
        <v>287</v>
      </c>
      <c r="C92" s="706"/>
      <c r="D92" s="706"/>
      <c r="E92" s="706"/>
      <c r="F92" s="706"/>
      <c r="G92" s="706"/>
      <c r="H92" s="706"/>
      <c r="I92" s="706"/>
      <c r="J92" s="706"/>
      <c r="K92" s="707"/>
      <c r="L92" s="117"/>
      <c r="M92" s="117"/>
      <c r="N92" s="117"/>
    </row>
    <row r="93" spans="2:15">
      <c r="B93" s="701" t="s">
        <v>0</v>
      </c>
      <c r="C93" s="702"/>
      <c r="D93" s="702"/>
      <c r="E93" s="702"/>
      <c r="F93" s="703"/>
      <c r="G93" s="162" t="s">
        <v>1</v>
      </c>
      <c r="H93" s="163" t="s">
        <v>2</v>
      </c>
      <c r="I93" s="164" t="s">
        <v>3</v>
      </c>
      <c r="J93" s="165" t="s">
        <v>4</v>
      </c>
      <c r="K93" s="165"/>
      <c r="L93" s="155"/>
      <c r="O93" s="115"/>
    </row>
    <row r="94" spans="2:15">
      <c r="B94" s="234" t="s">
        <v>114</v>
      </c>
      <c r="C94" s="162" t="s">
        <v>302</v>
      </c>
      <c r="D94" s="162" t="s">
        <v>7</v>
      </c>
      <c r="E94" s="162" t="s">
        <v>8</v>
      </c>
      <c r="F94" s="162" t="s">
        <v>9</v>
      </c>
      <c r="G94" s="162" t="s">
        <v>10</v>
      </c>
      <c r="H94" s="235" t="s">
        <v>11</v>
      </c>
      <c r="I94" s="235" t="s">
        <v>14</v>
      </c>
      <c r="J94" s="162" t="s">
        <v>16</v>
      </c>
      <c r="K94" s="235" t="s">
        <v>288</v>
      </c>
      <c r="O94" s="116"/>
    </row>
    <row r="95" spans="2:15" outlineLevel="1">
      <c r="B95" s="161" t="s">
        <v>115</v>
      </c>
      <c r="C95" s="166">
        <v>45864</v>
      </c>
      <c r="D95" s="167">
        <v>5</v>
      </c>
      <c r="E95" s="168">
        <v>6.4</v>
      </c>
      <c r="F95" s="168">
        <v>32</v>
      </c>
      <c r="G95" s="169">
        <v>35</v>
      </c>
      <c r="H95" s="169">
        <v>1120</v>
      </c>
      <c r="I95" s="170" t="s">
        <v>19</v>
      </c>
      <c r="J95" s="171">
        <v>0.15</v>
      </c>
      <c r="K95" s="172">
        <v>168</v>
      </c>
      <c r="O95" s="152"/>
    </row>
    <row r="96" spans="2:15" outlineLevel="1">
      <c r="B96" s="161" t="s">
        <v>116</v>
      </c>
      <c r="C96" s="166">
        <v>45877</v>
      </c>
      <c r="D96" s="168">
        <v>2</v>
      </c>
      <c r="E96" s="236">
        <v>6.92</v>
      </c>
      <c r="F96" s="168">
        <v>13.83</v>
      </c>
      <c r="G96" s="169">
        <v>35</v>
      </c>
      <c r="H96" s="169">
        <v>484.05</v>
      </c>
      <c r="I96" s="170" t="s">
        <v>19</v>
      </c>
      <c r="J96" s="171">
        <v>0.15</v>
      </c>
      <c r="K96" s="172">
        <v>72.61</v>
      </c>
      <c r="O96" s="152"/>
    </row>
    <row r="97" spans="2:15" outlineLevel="1">
      <c r="B97" s="161" t="s">
        <v>117</v>
      </c>
      <c r="C97" s="166">
        <v>45887</v>
      </c>
      <c r="D97" s="167">
        <v>6</v>
      </c>
      <c r="E97" s="236">
        <v>6.83</v>
      </c>
      <c r="F97" s="167">
        <v>41</v>
      </c>
      <c r="G97" s="169">
        <v>35</v>
      </c>
      <c r="H97" s="169">
        <v>1435</v>
      </c>
      <c r="I97" s="170" t="s">
        <v>19</v>
      </c>
      <c r="J97" s="171">
        <v>0.15</v>
      </c>
      <c r="K97" s="172">
        <v>215.25</v>
      </c>
      <c r="O97" s="152"/>
    </row>
    <row r="98" spans="2:15">
      <c r="B98" s="173" t="s">
        <v>19</v>
      </c>
      <c r="C98" s="162" t="s">
        <v>21</v>
      </c>
      <c r="D98" s="174">
        <v>4.33</v>
      </c>
      <c r="E98" s="174">
        <v>6.72</v>
      </c>
      <c r="F98" s="174">
        <v>28.94</v>
      </c>
      <c r="G98" s="175">
        <v>35</v>
      </c>
      <c r="H98" s="175">
        <v>1013.02</v>
      </c>
      <c r="I98" s="176" t="s">
        <v>19</v>
      </c>
      <c r="J98" s="177" t="s">
        <v>19</v>
      </c>
      <c r="K98" s="178" t="s">
        <v>19</v>
      </c>
      <c r="O98" s="153"/>
    </row>
    <row r="99" spans="2:15">
      <c r="B99" s="68" t="s">
        <v>19</v>
      </c>
      <c r="C99" s="1" t="s">
        <v>22</v>
      </c>
      <c r="D99" s="11">
        <f>SUM(D95:D97)</f>
        <v>13</v>
      </c>
      <c r="E99" s="11" t="s">
        <v>19</v>
      </c>
      <c r="F99" s="11">
        <f>SUM(F95:F97)</f>
        <v>86.83</v>
      </c>
      <c r="G99" s="11" t="s">
        <v>19</v>
      </c>
      <c r="H99" s="12">
        <f>SUM(H95:H97)</f>
        <v>3039.05</v>
      </c>
      <c r="I99" s="157" t="s">
        <v>19</v>
      </c>
      <c r="J99" s="158" t="s">
        <v>19</v>
      </c>
      <c r="K99" s="156">
        <f>SUM(K95:K97)</f>
        <v>455.86</v>
      </c>
      <c r="O99" s="154"/>
    </row>
    <row r="100" spans="2:15">
      <c r="B100" s="228"/>
      <c r="C100" s="229"/>
      <c r="D100" s="229"/>
      <c r="E100" s="229"/>
      <c r="F100" s="229"/>
      <c r="G100" s="229"/>
      <c r="H100" s="229"/>
      <c r="I100" s="229"/>
      <c r="J100" s="229"/>
      <c r="K100" s="229"/>
    </row>
    <row r="101" spans="2:15">
      <c r="B101" s="228"/>
      <c r="C101" s="229"/>
      <c r="D101" s="229"/>
      <c r="E101" s="229"/>
      <c r="F101" s="229"/>
      <c r="G101" s="229"/>
      <c r="H101" s="229"/>
      <c r="I101" s="229"/>
      <c r="J101" s="229"/>
      <c r="K101" s="229"/>
    </row>
    <row r="102" spans="2:15" ht="24">
      <c r="B102" s="705" t="s">
        <v>289</v>
      </c>
      <c r="C102" s="706"/>
      <c r="D102" s="706"/>
      <c r="E102" s="706"/>
      <c r="F102" s="706"/>
      <c r="G102" s="706"/>
      <c r="H102" s="706"/>
      <c r="I102" s="706"/>
      <c r="J102" s="706"/>
      <c r="K102" s="718"/>
    </row>
    <row r="103" spans="2:15">
      <c r="B103" s="701" t="s">
        <v>0</v>
      </c>
      <c r="C103" s="702"/>
      <c r="D103" s="702"/>
      <c r="E103" s="702"/>
      <c r="F103" s="703"/>
      <c r="G103" s="162" t="s">
        <v>1</v>
      </c>
      <c r="H103" s="163" t="s">
        <v>2</v>
      </c>
      <c r="I103" s="164" t="s">
        <v>3</v>
      </c>
      <c r="J103" s="165" t="s">
        <v>4</v>
      </c>
      <c r="K103" s="165"/>
    </row>
    <row r="104" spans="2:15">
      <c r="B104" s="225" t="s">
        <v>114</v>
      </c>
      <c r="C104" s="226" t="s">
        <v>303</v>
      </c>
      <c r="D104" s="226" t="s">
        <v>7</v>
      </c>
      <c r="E104" s="226" t="s">
        <v>8</v>
      </c>
      <c r="F104" s="226" t="s">
        <v>9</v>
      </c>
      <c r="G104" s="226" t="s">
        <v>10</v>
      </c>
      <c r="H104" s="227" t="s">
        <v>11</v>
      </c>
      <c r="I104" s="227" t="s">
        <v>14</v>
      </c>
      <c r="J104" s="226" t="s">
        <v>16</v>
      </c>
      <c r="K104" s="227" t="s">
        <v>288</v>
      </c>
    </row>
    <row r="105" spans="2:15" outlineLevel="1">
      <c r="B105" s="161" t="s">
        <v>115</v>
      </c>
      <c r="C105" s="166">
        <v>45944</v>
      </c>
      <c r="D105" s="167">
        <v>1</v>
      </c>
      <c r="E105" s="168">
        <f>IFERROR(F105/D105,"")</f>
        <v>4</v>
      </c>
      <c r="F105" s="168">
        <v>4</v>
      </c>
      <c r="G105" s="169">
        <v>75</v>
      </c>
      <c r="H105" s="169">
        <f>((G105*F105)+30)</f>
        <v>330</v>
      </c>
      <c r="I105" s="170" t="s">
        <v>19</v>
      </c>
      <c r="J105" s="171">
        <v>0.15</v>
      </c>
      <c r="K105" s="172">
        <f>H105*J105</f>
        <v>49.5</v>
      </c>
    </row>
    <row r="106" spans="2:15">
      <c r="B106" s="173" t="s">
        <v>19</v>
      </c>
      <c r="C106" s="162" t="s">
        <v>21</v>
      </c>
      <c r="D106" s="174" t="s">
        <v>19</v>
      </c>
      <c r="E106" s="174" t="s">
        <v>19</v>
      </c>
      <c r="F106" s="174" t="s">
        <v>19</v>
      </c>
      <c r="G106" s="175" t="s">
        <v>19</v>
      </c>
      <c r="H106" s="175" t="s">
        <v>19</v>
      </c>
      <c r="I106" s="176" t="s">
        <v>19</v>
      </c>
      <c r="J106" s="177" t="s">
        <v>19</v>
      </c>
      <c r="K106" s="178" t="s">
        <v>19</v>
      </c>
    </row>
    <row r="107" spans="2:15">
      <c r="B107" s="173" t="s">
        <v>19</v>
      </c>
      <c r="C107" s="162" t="s">
        <v>22</v>
      </c>
      <c r="D107" s="174" t="s">
        <v>19</v>
      </c>
      <c r="E107" s="174" t="s">
        <v>19</v>
      </c>
      <c r="F107" s="174" t="s">
        <v>19</v>
      </c>
      <c r="G107" s="174" t="s">
        <v>19</v>
      </c>
      <c r="H107" s="175">
        <f>H105</f>
        <v>330</v>
      </c>
      <c r="I107" s="176" t="s">
        <v>19</v>
      </c>
      <c r="J107" s="179" t="s">
        <v>19</v>
      </c>
      <c r="K107" s="180">
        <f>K105</f>
        <v>49.5</v>
      </c>
    </row>
    <row r="108" spans="2:15">
      <c r="B108" s="159"/>
      <c r="C108" s="160"/>
      <c r="D108" s="160"/>
      <c r="E108" s="160"/>
      <c r="F108" s="160"/>
      <c r="G108" s="160"/>
      <c r="H108" s="160"/>
      <c r="I108" s="160"/>
      <c r="J108" s="160"/>
      <c r="K108" s="160"/>
    </row>
    <row r="109" spans="2:15">
      <c r="B109" s="159"/>
      <c r="C109" s="160"/>
      <c r="D109" s="160"/>
      <c r="E109" s="160"/>
      <c r="F109" s="160"/>
      <c r="G109" s="160"/>
      <c r="H109" s="160"/>
      <c r="I109" s="160"/>
      <c r="J109" s="160"/>
      <c r="K109" s="160"/>
    </row>
    <row r="110" spans="2:15" ht="24">
      <c r="B110" s="704" t="s">
        <v>29</v>
      </c>
      <c r="C110" s="704"/>
      <c r="D110" s="704"/>
      <c r="E110" s="704"/>
      <c r="F110" s="704"/>
      <c r="G110" s="704"/>
      <c r="H110" s="704"/>
      <c r="I110" s="704"/>
      <c r="J110" s="704"/>
      <c r="K110" s="704"/>
      <c r="L110" s="704"/>
      <c r="M110" s="704"/>
      <c r="N110" s="704"/>
      <c r="O110" s="704"/>
    </row>
    <row r="111" spans="2:15">
      <c r="B111" s="663" t="s">
        <v>0</v>
      </c>
      <c r="C111" s="664"/>
      <c r="D111" s="664"/>
      <c r="E111" s="664"/>
      <c r="F111" s="665"/>
      <c r="G111" s="1" t="s">
        <v>1</v>
      </c>
      <c r="H111" s="663" t="s">
        <v>2</v>
      </c>
      <c r="I111" s="664"/>
      <c r="J111" s="665"/>
      <c r="K111" s="51" t="s">
        <v>3</v>
      </c>
      <c r="L111" s="699" t="s">
        <v>4</v>
      </c>
      <c r="M111" s="700"/>
      <c r="N111" s="51" t="s">
        <v>5</v>
      </c>
      <c r="O111" s="240" t="s">
        <v>258</v>
      </c>
    </row>
    <row r="112" spans="2:15">
      <c r="B112" s="52" t="s">
        <v>114</v>
      </c>
      <c r="C112" s="1" t="s">
        <v>6</v>
      </c>
      <c r="D112" s="1" t="s">
        <v>7</v>
      </c>
      <c r="E112" s="1" t="s">
        <v>8</v>
      </c>
      <c r="F112" s="1" t="s">
        <v>9</v>
      </c>
      <c r="G112" s="1" t="s">
        <v>10</v>
      </c>
      <c r="H112" s="1" t="s">
        <v>11</v>
      </c>
      <c r="I112" s="1" t="s">
        <v>12</v>
      </c>
      <c r="J112" s="1" t="s">
        <v>13</v>
      </c>
      <c r="K112" s="1" t="s">
        <v>14</v>
      </c>
      <c r="L112" s="1" t="s">
        <v>15</v>
      </c>
      <c r="M112" s="1" t="s">
        <v>16</v>
      </c>
      <c r="N112" s="1" t="s">
        <v>17</v>
      </c>
      <c r="O112" s="1" t="s">
        <v>259</v>
      </c>
    </row>
    <row r="113" spans="2:15" outlineLevel="1">
      <c r="B113" s="52" t="s">
        <v>115</v>
      </c>
      <c r="C113" s="2">
        <v>45923</v>
      </c>
      <c r="D113" s="3">
        <v>3</v>
      </c>
      <c r="E113" s="3">
        <f>IFERROR(F113/D113,"")</f>
        <v>7</v>
      </c>
      <c r="F113" s="3">
        <v>21</v>
      </c>
      <c r="G113" s="8">
        <v>31.2</v>
      </c>
      <c r="H113" s="7">
        <f>(G113*F113)</f>
        <v>655.19999999999993</v>
      </c>
      <c r="I113" s="10">
        <v>557.20000000000005</v>
      </c>
      <c r="J113" s="9"/>
      <c r="K113" s="4" t="s">
        <v>23</v>
      </c>
      <c r="L113" s="8">
        <f>H113-I113</f>
        <v>97.999999999999886</v>
      </c>
      <c r="M113" s="15">
        <f>(H113-I113)/H113</f>
        <v>0.1495726495726494</v>
      </c>
      <c r="N113" s="8">
        <f>H113-(H113*M152)</f>
        <v>556.916179622551</v>
      </c>
      <c r="O113" s="54">
        <v>78.62</v>
      </c>
    </row>
    <row r="114" spans="2:15" outlineLevel="1">
      <c r="B114" s="52" t="s">
        <v>116</v>
      </c>
      <c r="C114" s="2">
        <v>45930</v>
      </c>
      <c r="D114" s="3">
        <v>5</v>
      </c>
      <c r="E114" s="3">
        <f t="shared" ref="E114:E133" si="15">IFERROR(F114/D114,"")</f>
        <v>6.0340000000000007</v>
      </c>
      <c r="F114" s="3">
        <v>30.17</v>
      </c>
      <c r="G114" s="8">
        <v>31.2</v>
      </c>
      <c r="H114" s="7">
        <f t="shared" ref="H114:H124" si="16">(G114*F114)</f>
        <v>941.30400000000009</v>
      </c>
      <c r="I114" s="10">
        <v>800.2</v>
      </c>
      <c r="J114" s="9"/>
      <c r="K114" s="5"/>
      <c r="L114" s="8">
        <f t="shared" ref="L114:L124" si="17">H114-I114</f>
        <v>141.10400000000004</v>
      </c>
      <c r="M114" s="15">
        <f t="shared" ref="M114:M124" si="18">(H114-I114)/H114</f>
        <v>0.14990268818575087</v>
      </c>
      <c r="N114" s="8">
        <f>H114-(H114*M152)</f>
        <v>800.10291139106516</v>
      </c>
      <c r="O114" s="54">
        <v>112.94</v>
      </c>
    </row>
    <row r="115" spans="2:15" outlineLevel="1">
      <c r="B115" s="52" t="s">
        <v>117</v>
      </c>
      <c r="C115" s="2">
        <v>45937</v>
      </c>
      <c r="D115" s="3">
        <v>5</v>
      </c>
      <c r="E115" s="3">
        <f t="shared" si="15"/>
        <v>6.85</v>
      </c>
      <c r="F115" s="3">
        <v>34.25</v>
      </c>
      <c r="G115" s="8">
        <v>31.2</v>
      </c>
      <c r="H115" s="7">
        <f t="shared" si="16"/>
        <v>1068.5999999999999</v>
      </c>
      <c r="I115" s="10">
        <v>908.6</v>
      </c>
      <c r="J115" s="8">
        <f>I113+I114+I115</f>
        <v>2266</v>
      </c>
      <c r="K115" s="5"/>
      <c r="L115" s="8">
        <f t="shared" si="17"/>
        <v>159.99999999999989</v>
      </c>
      <c r="M115" s="15">
        <f t="shared" si="18"/>
        <v>0.14972861688190145</v>
      </c>
      <c r="N115" s="8">
        <f>H115-(H115*M152)</f>
        <v>908.30376914630347</v>
      </c>
      <c r="O115" s="54">
        <v>128.22999999999999</v>
      </c>
    </row>
    <row r="116" spans="2:15" outlineLevel="1">
      <c r="B116" s="52" t="s">
        <v>118</v>
      </c>
      <c r="C116" s="2">
        <v>45944</v>
      </c>
      <c r="D116" s="3">
        <v>5</v>
      </c>
      <c r="E116" s="3">
        <f t="shared" si="15"/>
        <v>6.766</v>
      </c>
      <c r="F116" s="3">
        <v>33.83</v>
      </c>
      <c r="G116" s="8">
        <v>31.2</v>
      </c>
      <c r="H116" s="7">
        <f t="shared" si="16"/>
        <v>1055.4959999999999</v>
      </c>
      <c r="I116" s="10">
        <v>897.6</v>
      </c>
      <c r="J116" s="9"/>
      <c r="K116" s="5"/>
      <c r="L116" s="8">
        <f t="shared" si="17"/>
        <v>157.89599999999984</v>
      </c>
      <c r="M116" s="15">
        <f t="shared" si="18"/>
        <v>0.14959412446849621</v>
      </c>
      <c r="N116" s="8">
        <f>H116-(H116*M152)</f>
        <v>897.16544555385235</v>
      </c>
      <c r="O116" s="54">
        <v>126.67</v>
      </c>
    </row>
    <row r="117" spans="2:15" outlineLevel="1">
      <c r="B117" s="52" t="s">
        <v>119</v>
      </c>
      <c r="C117" s="2">
        <v>45951</v>
      </c>
      <c r="D117" s="3">
        <v>5</v>
      </c>
      <c r="E117" s="3">
        <f t="shared" si="15"/>
        <v>6.7</v>
      </c>
      <c r="F117" s="3">
        <v>33.5</v>
      </c>
      <c r="G117" s="8">
        <v>31.2</v>
      </c>
      <c r="H117" s="7">
        <f t="shared" si="16"/>
        <v>1045.2</v>
      </c>
      <c r="I117" s="10">
        <v>888.2</v>
      </c>
      <c r="J117" s="9"/>
      <c r="K117" s="5"/>
      <c r="L117" s="8">
        <f t="shared" si="17"/>
        <v>157</v>
      </c>
      <c r="M117" s="15">
        <f t="shared" si="18"/>
        <v>0.15021048603138154</v>
      </c>
      <c r="N117" s="8">
        <f>H117-(H117*M152)</f>
        <v>888.41390558835531</v>
      </c>
      <c r="O117" s="54">
        <v>125.42</v>
      </c>
    </row>
    <row r="118" spans="2:15" outlineLevel="1">
      <c r="B118" s="52" t="s">
        <v>120</v>
      </c>
      <c r="C118" s="2">
        <v>45958</v>
      </c>
      <c r="D118" s="3">
        <v>5</v>
      </c>
      <c r="E118" s="3">
        <f t="shared" si="15"/>
        <v>7</v>
      </c>
      <c r="F118" s="3">
        <v>35</v>
      </c>
      <c r="G118" s="8">
        <v>31.2</v>
      </c>
      <c r="H118" s="7">
        <f t="shared" si="16"/>
        <v>1092</v>
      </c>
      <c r="I118" s="10">
        <v>928</v>
      </c>
      <c r="J118" s="9"/>
      <c r="K118" s="5"/>
      <c r="L118" s="8">
        <f t="shared" si="17"/>
        <v>164</v>
      </c>
      <c r="M118" s="15">
        <f t="shared" si="18"/>
        <v>0.15018315018315018</v>
      </c>
      <c r="N118" s="8">
        <f>H118-(H118*M152)</f>
        <v>928.19363270425174</v>
      </c>
      <c r="O118" s="54">
        <v>131.04</v>
      </c>
    </row>
    <row r="119" spans="2:15" outlineLevel="1">
      <c r="B119" s="52" t="s">
        <v>121</v>
      </c>
      <c r="C119" s="2">
        <v>45965</v>
      </c>
      <c r="D119" s="3">
        <v>3</v>
      </c>
      <c r="E119" s="3">
        <f t="shared" si="15"/>
        <v>7.5266666666666664</v>
      </c>
      <c r="F119" s="3">
        <v>22.58</v>
      </c>
      <c r="G119" s="8">
        <v>31.2</v>
      </c>
      <c r="H119" s="7">
        <f t="shared" si="16"/>
        <v>704.49599999999998</v>
      </c>
      <c r="I119" s="10">
        <v>598.29999999999995</v>
      </c>
      <c r="J119" s="8">
        <f>I116+I117+I118+I119</f>
        <v>3312.1000000000004</v>
      </c>
      <c r="K119" s="104" t="s">
        <v>24</v>
      </c>
      <c r="L119" s="8">
        <f t="shared" si="17"/>
        <v>106.19600000000003</v>
      </c>
      <c r="M119" s="15">
        <f t="shared" si="18"/>
        <v>0.15074038745429361</v>
      </c>
      <c r="N119" s="8">
        <f>H119-(H119*M152)</f>
        <v>598.81749218462869</v>
      </c>
      <c r="O119" s="54">
        <v>84.55</v>
      </c>
    </row>
    <row r="120" spans="2:15" outlineLevel="1">
      <c r="B120" s="52" t="s">
        <v>122</v>
      </c>
      <c r="C120" s="2">
        <v>45972</v>
      </c>
      <c r="D120" s="3">
        <v>4</v>
      </c>
      <c r="E120" s="3">
        <f t="shared" si="15"/>
        <v>6.73</v>
      </c>
      <c r="F120" s="3">
        <v>26.92</v>
      </c>
      <c r="G120" s="8">
        <v>31.2</v>
      </c>
      <c r="H120" s="7">
        <f t="shared" si="16"/>
        <v>839.904</v>
      </c>
      <c r="I120" s="10">
        <v>713.8</v>
      </c>
      <c r="J120" s="9"/>
      <c r="K120" s="4" t="s">
        <v>25</v>
      </c>
      <c r="L120" s="8">
        <f t="shared" si="17"/>
        <v>126.10400000000004</v>
      </c>
      <c r="M120" s="15">
        <f t="shared" si="18"/>
        <v>0.15014096849163719</v>
      </c>
      <c r="N120" s="8">
        <f>H120-(H120*M152)</f>
        <v>713.91350263995594</v>
      </c>
      <c r="O120" s="54">
        <v>100.78</v>
      </c>
    </row>
    <row r="121" spans="2:15" outlineLevel="1">
      <c r="B121" s="52" t="s">
        <v>123</v>
      </c>
      <c r="C121" s="2">
        <v>45979</v>
      </c>
      <c r="D121" s="3">
        <v>5</v>
      </c>
      <c r="E121" s="3">
        <f t="shared" si="15"/>
        <v>7.3340000000000005</v>
      </c>
      <c r="F121" s="3">
        <v>36.67</v>
      </c>
      <c r="G121" s="8">
        <v>31.2</v>
      </c>
      <c r="H121" s="7">
        <f t="shared" si="16"/>
        <v>1144.104</v>
      </c>
      <c r="I121" s="10">
        <v>972</v>
      </c>
      <c r="J121" s="9"/>
      <c r="K121" s="5"/>
      <c r="L121" s="8">
        <f t="shared" si="17"/>
        <v>172.10400000000004</v>
      </c>
      <c r="M121" s="15">
        <f t="shared" si="18"/>
        <v>0.15042688426926226</v>
      </c>
      <c r="N121" s="8">
        <f>H121-(H121*M152)</f>
        <v>972.48172889328328</v>
      </c>
      <c r="O121" s="54">
        <v>137.28</v>
      </c>
    </row>
    <row r="122" spans="2:15" outlineLevel="1">
      <c r="B122" s="52" t="s">
        <v>124</v>
      </c>
      <c r="C122" s="2">
        <v>45986</v>
      </c>
      <c r="D122" s="3">
        <v>5</v>
      </c>
      <c r="E122" s="3">
        <f t="shared" si="15"/>
        <v>8.25</v>
      </c>
      <c r="F122" s="3">
        <v>41.25</v>
      </c>
      <c r="G122" s="8">
        <v>31.2</v>
      </c>
      <c r="H122" s="7">
        <f t="shared" si="16"/>
        <v>1287</v>
      </c>
      <c r="I122" s="10">
        <v>1094</v>
      </c>
      <c r="J122" s="9"/>
      <c r="K122" s="5"/>
      <c r="L122" s="8">
        <f t="shared" si="17"/>
        <v>193</v>
      </c>
      <c r="M122" s="15">
        <f t="shared" si="18"/>
        <v>0.14996114996114995</v>
      </c>
      <c r="N122" s="8">
        <f>H122-(H122*M152)</f>
        <v>1093.942495687154</v>
      </c>
      <c r="O122" s="54">
        <v>154.44</v>
      </c>
    </row>
    <row r="123" spans="2:15" outlineLevel="1">
      <c r="B123" s="52" t="s">
        <v>125</v>
      </c>
      <c r="C123" s="2">
        <v>45993</v>
      </c>
      <c r="D123" s="3">
        <v>5</v>
      </c>
      <c r="E123" s="3">
        <f t="shared" si="15"/>
        <v>8.1</v>
      </c>
      <c r="F123" s="3">
        <v>40.5</v>
      </c>
      <c r="G123" s="8">
        <v>31.2</v>
      </c>
      <c r="H123" s="7">
        <f t="shared" si="16"/>
        <v>1263.5999999999999</v>
      </c>
      <c r="I123" s="10">
        <v>1073.5999999999999</v>
      </c>
      <c r="J123" s="8">
        <f>I120+I121+I122+I123</f>
        <v>3853.4</v>
      </c>
      <c r="K123" s="5"/>
      <c r="L123" s="8">
        <f t="shared" si="17"/>
        <v>190</v>
      </c>
      <c r="M123" s="15">
        <f t="shared" si="18"/>
        <v>0.15036403925292816</v>
      </c>
      <c r="N123" s="8">
        <f>H123-(H123*M152)</f>
        <v>1074.0526321292057</v>
      </c>
      <c r="O123" s="54">
        <v>151.63</v>
      </c>
    </row>
    <row r="124" spans="2:15" outlineLevel="1">
      <c r="B124" s="52" t="s">
        <v>126</v>
      </c>
      <c r="C124" s="2">
        <v>46000</v>
      </c>
      <c r="D124" s="3">
        <v>2</v>
      </c>
      <c r="E124" s="3">
        <f t="shared" si="15"/>
        <v>6.25</v>
      </c>
      <c r="F124" s="3">
        <v>12.5</v>
      </c>
      <c r="G124" s="8">
        <v>31.2</v>
      </c>
      <c r="H124" s="7">
        <f t="shared" si="16"/>
        <v>390</v>
      </c>
      <c r="I124" s="10">
        <v>331</v>
      </c>
      <c r="J124" s="9"/>
      <c r="K124" s="104" t="s">
        <v>26</v>
      </c>
      <c r="L124" s="8">
        <f t="shared" si="17"/>
        <v>59</v>
      </c>
      <c r="M124" s="15">
        <f t="shared" si="18"/>
        <v>0.15128205128205127</v>
      </c>
      <c r="N124" s="8">
        <f>H124-(H124*M152)</f>
        <v>331.49772596580419</v>
      </c>
      <c r="O124" s="54">
        <v>46.8</v>
      </c>
    </row>
    <row r="125" spans="2:15" outlineLevel="1">
      <c r="B125" s="52" t="s">
        <v>127</v>
      </c>
      <c r="C125" s="2">
        <v>46007</v>
      </c>
      <c r="D125" s="18">
        <v>0</v>
      </c>
      <c r="E125" s="18">
        <v>0</v>
      </c>
      <c r="F125" s="18">
        <v>0</v>
      </c>
      <c r="G125" s="79" t="s">
        <v>18</v>
      </c>
      <c r="H125" s="18" t="s">
        <v>18</v>
      </c>
      <c r="I125" s="18" t="s">
        <v>18</v>
      </c>
      <c r="J125" s="8" t="s">
        <v>19</v>
      </c>
      <c r="K125" s="19" t="s">
        <v>27</v>
      </c>
      <c r="L125" s="18" t="s">
        <v>18</v>
      </c>
      <c r="M125" s="18" t="s">
        <v>18</v>
      </c>
      <c r="N125" s="18" t="s">
        <v>18</v>
      </c>
      <c r="O125" s="18" t="s">
        <v>18</v>
      </c>
    </row>
    <row r="126" spans="2:15" outlineLevel="1">
      <c r="B126" s="52" t="s">
        <v>128</v>
      </c>
      <c r="C126" s="2">
        <v>46014</v>
      </c>
      <c r="D126" s="18">
        <v>0</v>
      </c>
      <c r="E126" s="18">
        <v>0</v>
      </c>
      <c r="F126" s="18">
        <v>0</v>
      </c>
      <c r="G126" s="79" t="s">
        <v>18</v>
      </c>
      <c r="H126" s="18" t="s">
        <v>18</v>
      </c>
      <c r="I126" s="18" t="s">
        <v>18</v>
      </c>
      <c r="J126" s="8" t="s">
        <v>19</v>
      </c>
      <c r="K126" s="19" t="s">
        <v>27</v>
      </c>
      <c r="L126" s="18" t="s">
        <v>18</v>
      </c>
      <c r="M126" s="18" t="s">
        <v>18</v>
      </c>
      <c r="N126" s="18" t="s">
        <v>18</v>
      </c>
      <c r="O126" s="18" t="s">
        <v>18</v>
      </c>
    </row>
    <row r="127" spans="2:15" outlineLevel="1">
      <c r="B127" s="52" t="s">
        <v>129</v>
      </c>
      <c r="C127" s="2">
        <v>46021</v>
      </c>
      <c r="D127" s="18">
        <v>0</v>
      </c>
      <c r="E127" s="18">
        <v>0</v>
      </c>
      <c r="F127" s="18">
        <v>0</v>
      </c>
      <c r="G127" s="79" t="s">
        <v>18</v>
      </c>
      <c r="H127" s="18" t="s">
        <v>18</v>
      </c>
      <c r="I127" s="18" t="s">
        <v>18</v>
      </c>
      <c r="J127" s="8">
        <f>I124</f>
        <v>331</v>
      </c>
      <c r="K127" s="19" t="s">
        <v>27</v>
      </c>
      <c r="L127" s="18" t="s">
        <v>18</v>
      </c>
      <c r="M127" s="18" t="s">
        <v>18</v>
      </c>
      <c r="N127" s="18" t="s">
        <v>18</v>
      </c>
      <c r="O127" s="18" t="s">
        <v>18</v>
      </c>
    </row>
    <row r="128" spans="2:15" outlineLevel="1">
      <c r="B128" s="52" t="s">
        <v>130</v>
      </c>
      <c r="C128" s="2">
        <v>46028</v>
      </c>
      <c r="D128" s="18">
        <v>0</v>
      </c>
      <c r="E128" s="18">
        <v>0</v>
      </c>
      <c r="F128" s="18">
        <v>0</v>
      </c>
      <c r="G128" s="79" t="s">
        <v>18</v>
      </c>
      <c r="H128" s="18" t="s">
        <v>18</v>
      </c>
      <c r="I128" s="18" t="s">
        <v>18</v>
      </c>
      <c r="J128" s="8" t="s">
        <v>19</v>
      </c>
      <c r="K128" s="19" t="s">
        <v>27</v>
      </c>
      <c r="L128" s="18" t="s">
        <v>18</v>
      </c>
      <c r="M128" s="18" t="s">
        <v>18</v>
      </c>
      <c r="N128" s="18" t="s">
        <v>18</v>
      </c>
      <c r="O128" s="18" t="s">
        <v>18</v>
      </c>
    </row>
    <row r="129" spans="2:15" outlineLevel="1">
      <c r="B129" s="52" t="s">
        <v>131</v>
      </c>
      <c r="C129" s="2">
        <v>46035</v>
      </c>
      <c r="D129" s="3">
        <v>4</v>
      </c>
      <c r="E129" s="3">
        <f t="shared" si="15"/>
        <v>7.1875</v>
      </c>
      <c r="F129" s="3">
        <v>28.75</v>
      </c>
      <c r="G129" s="7">
        <v>35</v>
      </c>
      <c r="H129" s="8">
        <f>G129*F129</f>
        <v>1006.25</v>
      </c>
      <c r="I129" s="10">
        <v>855.25</v>
      </c>
      <c r="J129" s="13"/>
      <c r="K129" s="4" t="s">
        <v>28</v>
      </c>
      <c r="L129" s="8">
        <f t="shared" ref="L129:L133" si="19">H129-I129</f>
        <v>151</v>
      </c>
      <c r="M129" s="15">
        <f t="shared" ref="M129:M133" si="20">(H129-I129)/H129</f>
        <v>0.15006211180124224</v>
      </c>
      <c r="N129" s="8">
        <f>H129-(H129*M152)</f>
        <v>855.30663270023206</v>
      </c>
      <c r="O129" s="54">
        <v>120.75</v>
      </c>
    </row>
    <row r="130" spans="2:15" outlineLevel="1">
      <c r="B130" s="52" t="s">
        <v>132</v>
      </c>
      <c r="C130" s="2">
        <v>46042</v>
      </c>
      <c r="D130" s="3">
        <v>5</v>
      </c>
      <c r="E130" s="3">
        <f t="shared" si="15"/>
        <v>8.2333400000000001</v>
      </c>
      <c r="F130" s="3">
        <v>41.166699999999999</v>
      </c>
      <c r="G130" s="7">
        <v>35</v>
      </c>
      <c r="H130" s="8">
        <f>G130*F130</f>
        <v>1440.8344999999999</v>
      </c>
      <c r="I130" s="10">
        <v>1224.83</v>
      </c>
      <c r="J130" s="13"/>
      <c r="K130" s="4" t="s">
        <v>20</v>
      </c>
      <c r="L130" s="8">
        <f t="shared" si="19"/>
        <v>216.00450000000001</v>
      </c>
      <c r="M130" s="15">
        <f t="shared" si="20"/>
        <v>0.14991624645301041</v>
      </c>
      <c r="N130" s="8">
        <f>H130-(H130*M152)</f>
        <v>1224.7009237001962</v>
      </c>
      <c r="O130" s="54">
        <v>172.9</v>
      </c>
    </row>
    <row r="131" spans="2:15" outlineLevel="1">
      <c r="B131" s="52" t="s">
        <v>133</v>
      </c>
      <c r="C131" s="2">
        <v>46049</v>
      </c>
      <c r="D131" s="3">
        <v>5</v>
      </c>
      <c r="E131" s="3">
        <f t="shared" si="15"/>
        <v>8.85</v>
      </c>
      <c r="F131" s="3">
        <v>44.25</v>
      </c>
      <c r="G131" s="7">
        <v>35</v>
      </c>
      <c r="H131" s="8">
        <f t="shared" ref="H131:H133" si="21">G131*F131</f>
        <v>1548.75</v>
      </c>
      <c r="I131" s="23">
        <v>1316.75</v>
      </c>
      <c r="J131" s="13">
        <f>I129+I130+I131</f>
        <v>3396.83</v>
      </c>
      <c r="K131" s="14"/>
      <c r="L131" s="8">
        <f t="shared" si="19"/>
        <v>232</v>
      </c>
      <c r="M131" s="15">
        <f t="shared" si="20"/>
        <v>0.14979822437449555</v>
      </c>
      <c r="N131" s="8">
        <f>H131-(H131*M152)</f>
        <v>1316.4284694603571</v>
      </c>
      <c r="O131" s="54">
        <v>185.85</v>
      </c>
    </row>
    <row r="132" spans="2:15" outlineLevel="1">
      <c r="B132" s="52" t="s">
        <v>134</v>
      </c>
      <c r="C132" s="2">
        <v>46056</v>
      </c>
      <c r="D132" s="24">
        <v>4</v>
      </c>
      <c r="E132" s="3">
        <f t="shared" si="15"/>
        <v>9.0625</v>
      </c>
      <c r="F132" s="24">
        <v>36.25</v>
      </c>
      <c r="G132" s="25">
        <v>35</v>
      </c>
      <c r="H132" s="8">
        <f t="shared" si="21"/>
        <v>1268.75</v>
      </c>
      <c r="I132" s="23">
        <v>1078.75</v>
      </c>
      <c r="J132" s="110"/>
      <c r="K132" s="14" t="s">
        <v>25</v>
      </c>
      <c r="L132" s="8">
        <f t="shared" si="19"/>
        <v>190</v>
      </c>
      <c r="M132" s="15">
        <f t="shared" si="20"/>
        <v>0.14975369458128079</v>
      </c>
      <c r="N132" s="8">
        <f>H132-(H132*M152)</f>
        <v>1078.4301021002925</v>
      </c>
      <c r="O132" s="54">
        <v>152.25</v>
      </c>
    </row>
    <row r="133" spans="2:15" outlineLevel="1">
      <c r="B133" s="52" t="s">
        <v>135</v>
      </c>
      <c r="C133" s="2">
        <v>46063</v>
      </c>
      <c r="D133" s="24">
        <v>5</v>
      </c>
      <c r="E133" s="24">
        <f t="shared" si="15"/>
        <v>9.0500000000000007</v>
      </c>
      <c r="F133" s="24">
        <v>45.25</v>
      </c>
      <c r="G133" s="25">
        <v>35</v>
      </c>
      <c r="H133" s="13">
        <f t="shared" si="21"/>
        <v>1583.75</v>
      </c>
      <c r="I133" s="23">
        <v>1345.75</v>
      </c>
      <c r="J133" s="13"/>
      <c r="K133" s="14"/>
      <c r="L133" s="8">
        <f t="shared" si="19"/>
        <v>238</v>
      </c>
      <c r="M133" s="15">
        <f t="shared" si="20"/>
        <v>0.15027624309392265</v>
      </c>
      <c r="N133" s="8">
        <f>H133-(H133*M152)</f>
        <v>1346.1782653803652</v>
      </c>
      <c r="O133" s="54">
        <v>190.05</v>
      </c>
    </row>
    <row r="134" spans="2:15" outlineLevel="1">
      <c r="B134" s="52" t="s">
        <v>136</v>
      </c>
      <c r="C134" s="2">
        <v>46070</v>
      </c>
      <c r="D134" s="24">
        <v>5</v>
      </c>
      <c r="E134" s="24">
        <f>IFERROR(F134/D134,"")</f>
        <v>8.016</v>
      </c>
      <c r="F134" s="24">
        <v>40.08</v>
      </c>
      <c r="G134" s="25">
        <v>35</v>
      </c>
      <c r="H134" s="13">
        <f>G134*F134</f>
        <v>1402.8</v>
      </c>
      <c r="I134" s="23">
        <v>1192.92</v>
      </c>
      <c r="J134" s="13"/>
      <c r="K134" s="14"/>
      <c r="L134" s="8">
        <f>H134-I134</f>
        <v>209.87999999999988</v>
      </c>
      <c r="M134" s="16">
        <f>(H134-I134)/H134</f>
        <v>0.14961505560307947</v>
      </c>
      <c r="N134" s="8">
        <f>H134-(H134*M152)</f>
        <v>1192.3718204739234</v>
      </c>
      <c r="O134" s="54">
        <v>168.35</v>
      </c>
    </row>
    <row r="135" spans="2:15" outlineLevel="1">
      <c r="B135" s="52" t="s">
        <v>137</v>
      </c>
      <c r="C135" s="2">
        <v>46077</v>
      </c>
      <c r="D135" s="77">
        <v>0</v>
      </c>
      <c r="E135" s="77">
        <v>0</v>
      </c>
      <c r="F135" s="77">
        <v>0</v>
      </c>
      <c r="G135" s="78" t="s">
        <v>148</v>
      </c>
      <c r="H135" s="78" t="s">
        <v>148</v>
      </c>
      <c r="I135" s="78" t="s">
        <v>148</v>
      </c>
      <c r="J135" s="13">
        <v>3617.42</v>
      </c>
      <c r="K135" s="80" t="s">
        <v>150</v>
      </c>
      <c r="L135" s="78" t="s">
        <v>148</v>
      </c>
      <c r="M135" s="78" t="s">
        <v>148</v>
      </c>
      <c r="N135" s="78" t="s">
        <v>148</v>
      </c>
      <c r="O135" s="78" t="s">
        <v>148</v>
      </c>
    </row>
    <row r="136" spans="2:15" outlineLevel="1">
      <c r="B136" s="52" t="s">
        <v>149</v>
      </c>
      <c r="C136" s="2">
        <v>46084</v>
      </c>
      <c r="D136" s="103">
        <v>4</v>
      </c>
      <c r="E136" s="63">
        <f t="shared" ref="E136:E147" si="22">IFERROR(F136/D136,"")</f>
        <v>6.3949999999999996</v>
      </c>
      <c r="F136" s="63">
        <v>25.58</v>
      </c>
      <c r="G136" s="54">
        <v>35</v>
      </c>
      <c r="H136" s="54">
        <f t="shared" ref="H136:H142" si="23">G136*F136</f>
        <v>895.3</v>
      </c>
      <c r="I136" s="71">
        <v>761.42</v>
      </c>
      <c r="J136" s="63"/>
      <c r="K136" s="105" t="s">
        <v>156</v>
      </c>
      <c r="L136" s="54">
        <f t="shared" ref="L136:L146" si="24">H136-I136</f>
        <v>133.88</v>
      </c>
      <c r="M136" s="101">
        <f t="shared" ref="M136:M143" si="25">(H136-I136)/H136</f>
        <v>0.14953646822294203</v>
      </c>
      <c r="N136" s="54">
        <f>H136-(H136*M152)</f>
        <v>760.99977963380638</v>
      </c>
      <c r="O136" s="54">
        <v>107.45</v>
      </c>
    </row>
    <row r="137" spans="2:15" outlineLevel="1">
      <c r="B137" s="52" t="s">
        <v>157</v>
      </c>
      <c r="C137" s="2">
        <v>46091</v>
      </c>
      <c r="D137" s="96">
        <v>4</v>
      </c>
      <c r="E137" s="63">
        <f t="shared" si="22"/>
        <v>8.625</v>
      </c>
      <c r="F137" s="96">
        <v>34.5</v>
      </c>
      <c r="G137" s="97">
        <v>35</v>
      </c>
      <c r="H137" s="54">
        <f t="shared" si="23"/>
        <v>1207.5</v>
      </c>
      <c r="I137" s="99">
        <v>1026.5</v>
      </c>
      <c r="J137" s="98"/>
      <c r="K137" s="100" t="s">
        <v>175</v>
      </c>
      <c r="L137" s="8">
        <f t="shared" si="24"/>
        <v>181</v>
      </c>
      <c r="M137" s="101">
        <f t="shared" si="25"/>
        <v>0.14989648033126293</v>
      </c>
      <c r="N137" s="54">
        <f>H137-(H137*M152)</f>
        <v>1026.3679592402784</v>
      </c>
      <c r="O137" s="54">
        <v>144.9</v>
      </c>
    </row>
    <row r="138" spans="2:15" outlineLevel="1">
      <c r="B138" s="52" t="s">
        <v>158</v>
      </c>
      <c r="C138" s="2">
        <v>46098</v>
      </c>
      <c r="D138" s="96">
        <v>4</v>
      </c>
      <c r="E138" s="63">
        <f t="shared" si="22"/>
        <v>8.52</v>
      </c>
      <c r="F138" s="96">
        <v>34.08</v>
      </c>
      <c r="G138" s="97">
        <v>35</v>
      </c>
      <c r="H138" s="54">
        <f t="shared" si="23"/>
        <v>1192.8</v>
      </c>
      <c r="I138" s="99">
        <v>1013.92</v>
      </c>
      <c r="J138" s="98"/>
      <c r="K138" s="100" t="s">
        <v>310</v>
      </c>
      <c r="L138" s="8">
        <f t="shared" si="24"/>
        <v>178.88</v>
      </c>
      <c r="M138" s="101">
        <f t="shared" si="25"/>
        <v>0.14996646545942321</v>
      </c>
      <c r="N138" s="54">
        <f>H138-(H138*M152)</f>
        <v>1013.873044953875</v>
      </c>
      <c r="O138" s="54">
        <v>143.15</v>
      </c>
    </row>
    <row r="139" spans="2:15" outlineLevel="1">
      <c r="B139" s="52" t="s">
        <v>171</v>
      </c>
      <c r="C139" s="2">
        <v>46105</v>
      </c>
      <c r="D139" s="96">
        <v>5</v>
      </c>
      <c r="E139" s="63">
        <f t="shared" si="22"/>
        <v>8.5</v>
      </c>
      <c r="F139" s="96">
        <v>42.5</v>
      </c>
      <c r="G139" s="97">
        <v>35</v>
      </c>
      <c r="H139" s="54">
        <f t="shared" si="23"/>
        <v>1487.5</v>
      </c>
      <c r="I139" s="99">
        <v>1264.5</v>
      </c>
      <c r="J139" s="98">
        <v>4066.34</v>
      </c>
      <c r="K139" s="100"/>
      <c r="L139" s="8">
        <f t="shared" si="24"/>
        <v>223</v>
      </c>
      <c r="M139" s="101">
        <f t="shared" si="25"/>
        <v>0.14991596638655463</v>
      </c>
      <c r="N139" s="54">
        <f>H139-(H139*M152)</f>
        <v>1264.366326600343</v>
      </c>
      <c r="O139" s="54">
        <v>178.5</v>
      </c>
    </row>
    <row r="140" spans="2:15" outlineLevel="1">
      <c r="B140" s="52" t="s">
        <v>172</v>
      </c>
      <c r="C140" s="2">
        <v>46112</v>
      </c>
      <c r="D140" s="96">
        <v>5</v>
      </c>
      <c r="E140" s="96">
        <f t="shared" si="22"/>
        <v>7.6659999999999995</v>
      </c>
      <c r="F140" s="96">
        <v>38.33</v>
      </c>
      <c r="G140" s="97">
        <v>35</v>
      </c>
      <c r="H140" s="98">
        <f t="shared" si="23"/>
        <v>1341.55</v>
      </c>
      <c r="I140" s="99">
        <v>1140.48</v>
      </c>
      <c r="J140" s="98"/>
      <c r="K140" s="100" t="s">
        <v>351</v>
      </c>
      <c r="L140" s="8">
        <f t="shared" si="24"/>
        <v>201.06999999999994</v>
      </c>
      <c r="M140" s="102">
        <f t="shared" si="25"/>
        <v>0.14987887145466061</v>
      </c>
      <c r="N140" s="54">
        <f>H140-(H140*M152)</f>
        <v>1140.3096776139093</v>
      </c>
      <c r="O140" s="54">
        <v>161</v>
      </c>
    </row>
    <row r="141" spans="2:15" outlineLevel="1">
      <c r="B141" s="52" t="s">
        <v>173</v>
      </c>
      <c r="C141" s="2">
        <v>46119</v>
      </c>
      <c r="D141" s="96">
        <v>5</v>
      </c>
      <c r="E141" s="96">
        <f t="shared" si="22"/>
        <v>8.0839999999999996</v>
      </c>
      <c r="F141" s="96">
        <v>40.42</v>
      </c>
      <c r="G141" s="97">
        <v>35</v>
      </c>
      <c r="H141" s="98">
        <f t="shared" si="23"/>
        <v>1414.7</v>
      </c>
      <c r="I141" s="99">
        <v>1202.58</v>
      </c>
      <c r="J141" s="98"/>
      <c r="K141" s="100"/>
      <c r="L141" s="8">
        <f t="shared" si="24"/>
        <v>212.12000000000012</v>
      </c>
      <c r="M141" s="102">
        <f t="shared" si="25"/>
        <v>0.14993991659008984</v>
      </c>
      <c r="N141" s="54">
        <f>H141-(H141*M152)</f>
        <v>1202.4867510867261</v>
      </c>
      <c r="O141" s="54">
        <v>169.75</v>
      </c>
    </row>
    <row r="142" spans="2:15" outlineLevel="1">
      <c r="B142" s="52" t="s">
        <v>174</v>
      </c>
      <c r="C142" s="2">
        <v>46126</v>
      </c>
      <c r="D142" s="96">
        <v>4</v>
      </c>
      <c r="E142" s="96">
        <f t="shared" si="22"/>
        <v>8.4375</v>
      </c>
      <c r="F142" s="96">
        <v>33.75</v>
      </c>
      <c r="G142" s="97">
        <v>35</v>
      </c>
      <c r="H142" s="98">
        <f t="shared" si="23"/>
        <v>1181.25</v>
      </c>
      <c r="I142" s="99">
        <v>1004.25</v>
      </c>
      <c r="J142" s="98"/>
      <c r="K142" s="100" t="s">
        <v>371</v>
      </c>
      <c r="L142" s="8">
        <f t="shared" si="24"/>
        <v>177</v>
      </c>
      <c r="M142" s="102">
        <f t="shared" si="25"/>
        <v>0.14984126984126983</v>
      </c>
      <c r="N142" s="54">
        <f>H142-(H142*M152)</f>
        <v>1004.0556123002724</v>
      </c>
      <c r="O142" s="54">
        <v>141.75</v>
      </c>
    </row>
    <row r="143" spans="2:15" outlineLevel="1">
      <c r="B143" s="52" t="s">
        <v>304</v>
      </c>
      <c r="C143" s="2">
        <v>46133</v>
      </c>
      <c r="D143" s="96">
        <v>5</v>
      </c>
      <c r="E143" s="96">
        <f t="shared" si="22"/>
        <v>8.4659999999999993</v>
      </c>
      <c r="F143" s="96">
        <v>42.33</v>
      </c>
      <c r="G143" s="97">
        <v>35</v>
      </c>
      <c r="H143" s="98">
        <f>G143*F143</f>
        <v>1481.55</v>
      </c>
      <c r="I143" s="99">
        <v>1259.67</v>
      </c>
      <c r="J143" s="98">
        <f>SUM(I140:I143)</f>
        <v>4606.9799999999996</v>
      </c>
      <c r="K143" s="100"/>
      <c r="L143" s="8">
        <f t="shared" si="24"/>
        <v>221.87999999999988</v>
      </c>
      <c r="M143" s="102">
        <f t="shared" si="25"/>
        <v>0.14976207350410037</v>
      </c>
      <c r="N143" s="54">
        <f>H143-(H143*M152)</f>
        <v>1259.3088612939416</v>
      </c>
      <c r="O143" s="54">
        <v>177.8</v>
      </c>
    </row>
    <row r="144" spans="2:15">
      <c r="B144" s="52" t="s">
        <v>305</v>
      </c>
      <c r="C144" s="2">
        <v>46140</v>
      </c>
      <c r="D144" s="96">
        <v>5</v>
      </c>
      <c r="E144" s="96">
        <f t="shared" si="22"/>
        <v>8.4499999999999993</v>
      </c>
      <c r="F144" s="96">
        <v>42.25</v>
      </c>
      <c r="G144" s="97">
        <v>35</v>
      </c>
      <c r="H144" s="98">
        <f>G144*F144</f>
        <v>1478.75</v>
      </c>
      <c r="I144" s="99">
        <v>1256.75</v>
      </c>
      <c r="J144" s="98"/>
      <c r="K144" s="110"/>
      <c r="L144" s="8">
        <f t="shared" si="24"/>
        <v>222</v>
      </c>
      <c r="M144" s="102">
        <f>(H144-I144)/H144</f>
        <v>0.15012679628064243</v>
      </c>
      <c r="N144" s="54">
        <f>H144-(H144*M152)</f>
        <v>1256.9288776203409</v>
      </c>
      <c r="O144" s="54">
        <v>177.45</v>
      </c>
    </row>
    <row r="145" spans="2:15">
      <c r="B145" s="52" t="s">
        <v>306</v>
      </c>
      <c r="C145" s="2">
        <v>46147</v>
      </c>
      <c r="D145" s="96">
        <v>5</v>
      </c>
      <c r="E145" s="96">
        <f t="shared" si="22"/>
        <v>8.2333400000000001</v>
      </c>
      <c r="F145" s="96">
        <v>41.166699999999999</v>
      </c>
      <c r="G145" s="97">
        <v>35</v>
      </c>
      <c r="H145" s="98">
        <f>G145*F145</f>
        <v>1440.8344999999999</v>
      </c>
      <c r="I145" s="99">
        <v>1224.83</v>
      </c>
      <c r="J145" s="98"/>
      <c r="K145" s="110"/>
      <c r="L145" s="8">
        <f t="shared" si="24"/>
        <v>216.00450000000001</v>
      </c>
      <c r="M145" s="102">
        <f>(H145-I145)/H145</f>
        <v>0.14991624645301041</v>
      </c>
      <c r="N145" s="54">
        <f>H145-(H145*M152)</f>
        <v>1224.7009237001962</v>
      </c>
      <c r="O145" s="54">
        <v>172.9</v>
      </c>
    </row>
    <row r="146" spans="2:15">
      <c r="B146" s="52" t="s">
        <v>377</v>
      </c>
      <c r="C146" s="2">
        <v>46154</v>
      </c>
      <c r="D146" s="96">
        <v>5</v>
      </c>
      <c r="E146" s="96">
        <f t="shared" si="22"/>
        <v>7.8166600000000006</v>
      </c>
      <c r="F146" s="96">
        <v>39.083300000000001</v>
      </c>
      <c r="G146" s="97">
        <v>35</v>
      </c>
      <c r="H146" s="98">
        <f>G146*F146</f>
        <v>1367.9155000000001</v>
      </c>
      <c r="I146" s="99">
        <v>1162.92</v>
      </c>
      <c r="J146" s="98"/>
      <c r="K146" s="100"/>
      <c r="L146" s="8">
        <f t="shared" si="24"/>
        <v>204.99549999999999</v>
      </c>
      <c r="M146" s="102">
        <f>(H146-I146)/H146</f>
        <v>0.14985976838481616</v>
      </c>
      <c r="N146" s="54">
        <f>H146-(H146*M152)</f>
        <v>1162.7201988804516</v>
      </c>
      <c r="O146" s="54">
        <v>165.15</v>
      </c>
    </row>
    <row r="147" spans="2:15">
      <c r="B147" s="52" t="s">
        <v>378</v>
      </c>
      <c r="C147" s="2">
        <v>46161</v>
      </c>
      <c r="D147" s="96">
        <v>5</v>
      </c>
      <c r="E147" s="96">
        <f t="shared" si="22"/>
        <v>8.0666600000000006</v>
      </c>
      <c r="F147" s="96">
        <v>40.333300000000001</v>
      </c>
      <c r="G147" s="97">
        <v>35</v>
      </c>
      <c r="H147" s="98">
        <f>G147*F147</f>
        <v>1411.6655000000001</v>
      </c>
      <c r="I147" s="99"/>
      <c r="J147" s="98">
        <f>SUM(I144:I147)</f>
        <v>3644.5</v>
      </c>
      <c r="K147" s="100"/>
      <c r="L147" s="8"/>
      <c r="M147" s="102"/>
      <c r="N147" s="54">
        <f>H147-(H147*M152)</f>
        <v>1199.9074437804616</v>
      </c>
      <c r="O147" s="54"/>
    </row>
    <row r="148" spans="2:15">
      <c r="B148" s="52" t="s">
        <v>379</v>
      </c>
      <c r="C148" s="2">
        <v>46168</v>
      </c>
      <c r="D148" s="96"/>
      <c r="E148" s="96"/>
      <c r="F148" s="96"/>
      <c r="G148" s="97"/>
      <c r="H148" s="98"/>
      <c r="I148" s="99"/>
      <c r="J148" s="98"/>
      <c r="K148" s="100"/>
      <c r="L148" s="8"/>
      <c r="M148" s="102"/>
      <c r="N148" s="54"/>
      <c r="O148" s="54"/>
    </row>
    <row r="149" spans="2:15">
      <c r="B149" s="52" t="s">
        <v>380</v>
      </c>
      <c r="C149" s="2">
        <v>46175</v>
      </c>
      <c r="D149" s="96"/>
      <c r="E149" s="96"/>
      <c r="F149" s="96"/>
      <c r="G149" s="97"/>
      <c r="H149" s="98"/>
      <c r="I149" s="99"/>
      <c r="J149" s="98"/>
      <c r="K149" s="100"/>
      <c r="L149" s="8"/>
      <c r="M149" s="102"/>
      <c r="N149" s="54"/>
      <c r="O149" s="54"/>
    </row>
    <row r="150" spans="2:15">
      <c r="B150" s="52" t="s">
        <v>381</v>
      </c>
      <c r="C150" s="2">
        <v>46182</v>
      </c>
      <c r="D150" s="96"/>
      <c r="E150" s="96"/>
      <c r="F150" s="96"/>
      <c r="G150" s="97"/>
      <c r="H150" s="98"/>
      <c r="I150" s="99"/>
      <c r="J150" s="98"/>
      <c r="K150" s="100"/>
      <c r="L150" s="8"/>
      <c r="M150" s="102"/>
      <c r="N150" s="54"/>
      <c r="O150" s="54"/>
    </row>
    <row r="151" spans="2:15">
      <c r="B151" s="52" t="s">
        <v>382</v>
      </c>
      <c r="C151" s="2">
        <v>46189</v>
      </c>
      <c r="D151" s="96"/>
      <c r="E151" s="96"/>
      <c r="F151" s="96"/>
      <c r="G151" s="97"/>
      <c r="H151" s="98"/>
      <c r="I151" s="99"/>
      <c r="J151" s="98"/>
      <c r="K151" s="100"/>
      <c r="L151" s="8"/>
      <c r="M151" s="102"/>
      <c r="N151" s="54"/>
      <c r="O151" s="54"/>
    </row>
    <row r="152" spans="2:15">
      <c r="B152" s="68" t="s">
        <v>19</v>
      </c>
      <c r="C152" s="1" t="s">
        <v>21</v>
      </c>
      <c r="D152" s="11">
        <f>AVERAGE(D114:D118,D120:D123,D129:D134,D136:D151)</f>
        <v>4.7407407407407405</v>
      </c>
      <c r="E152" s="11">
        <f>AVERAGE(E113:E124,E129:E134,E136:E151)</f>
        <v>7.7400055555555562</v>
      </c>
      <c r="F152" s="11">
        <f>AVERAGE(F114:F118,F120:F123,F129:F134,F136:F151)</f>
        <v>37.117037037037043</v>
      </c>
      <c r="G152" s="12">
        <f>AVERAGE(G113:G124,G129:G134,G136:G151)</f>
        <v>33.479999999999997</v>
      </c>
      <c r="H152" s="12">
        <f>AVERAGE(H114:H118,H120:H123,H129:H134,H136:H151)</f>
        <v>1255.1725185185185</v>
      </c>
      <c r="I152" s="12">
        <f>AVERAGE(I114:I118,I120:I123,I129:I134,I136:I151)</f>
        <v>1061.8488461538459</v>
      </c>
      <c r="J152" s="12">
        <f>AVERAGE(J113:J123,J129:J151)</f>
        <v>3595.44625</v>
      </c>
      <c r="K152" s="11" t="s">
        <v>19</v>
      </c>
      <c r="L152" s="12">
        <f>AVERAGE(L113:L124,L129:L134,L136:L151)</f>
        <v>177.00408620689655</v>
      </c>
      <c r="M152" s="17">
        <f>AVERAGE(M113:M124,M129:M134,M136:M151)</f>
        <v>0.15000583085691227</v>
      </c>
      <c r="N152" s="12">
        <f>AVERAGE(N114:N118,N120:N123,N129:N134,N136:N151)</f>
        <v>1066.8893220093851</v>
      </c>
      <c r="O152" s="137" t="s">
        <v>19</v>
      </c>
    </row>
    <row r="153" spans="2:15">
      <c r="B153" s="68" t="s">
        <v>19</v>
      </c>
      <c r="C153" s="1" t="s">
        <v>22</v>
      </c>
      <c r="D153" s="11">
        <f>SUM(D113:D151)</f>
        <v>136</v>
      </c>
      <c r="E153" s="11" t="s">
        <v>19</v>
      </c>
      <c r="F153" s="11">
        <f>SUM(F113:F124,F129:F151)</f>
        <v>1058.2400000000002</v>
      </c>
      <c r="G153" s="11" t="s">
        <v>19</v>
      </c>
      <c r="H153" s="12">
        <f>SUM(H113:H124,H129:H151)</f>
        <v>35639.353999999999</v>
      </c>
      <c r="I153" s="12">
        <f>SUM(I113:I124,I129:I151)</f>
        <v>29094.569999999992</v>
      </c>
      <c r="J153" s="11" t="s">
        <v>19</v>
      </c>
      <c r="K153" s="11" t="s">
        <v>19</v>
      </c>
      <c r="L153" s="12">
        <f>SUM(L113:L124,L129:L151)</f>
        <v>5133.1184999999996</v>
      </c>
      <c r="M153" s="6" t="s">
        <v>19</v>
      </c>
      <c r="N153" s="11" t="s">
        <v>19</v>
      </c>
      <c r="O153" s="123">
        <f>SUM(O113:O151)</f>
        <v>4108.3499999999995</v>
      </c>
    </row>
    <row r="158" spans="2:15" ht="23">
      <c r="B158" s="715" t="s">
        <v>383</v>
      </c>
      <c r="C158" s="716"/>
      <c r="D158" s="716"/>
      <c r="E158" s="716"/>
      <c r="F158" s="717"/>
    </row>
    <row r="159" spans="2:15">
      <c r="B159" s="269" t="s">
        <v>331</v>
      </c>
      <c r="C159" s="270" t="s">
        <v>332</v>
      </c>
      <c r="D159" s="270" t="s">
        <v>333</v>
      </c>
      <c r="E159" s="270" t="s">
        <v>336</v>
      </c>
      <c r="F159" s="279" t="s">
        <v>337</v>
      </c>
    </row>
    <row r="160" spans="2:15">
      <c r="B160" s="252"/>
      <c r="C160" s="276">
        <f>SUM(H7:H10)</f>
        <v>3518.37</v>
      </c>
      <c r="D160" s="276">
        <f>SUM(I7:I10)</f>
        <v>2990.37</v>
      </c>
      <c r="E160" s="276">
        <f>SUM(L7:L10)</f>
        <v>528.00000000000023</v>
      </c>
      <c r="F160" s="278">
        <f>0</f>
        <v>0</v>
      </c>
    </row>
    <row r="161" spans="2:8">
      <c r="B161" s="271" t="s">
        <v>334</v>
      </c>
      <c r="C161" s="277" t="s">
        <v>332</v>
      </c>
      <c r="D161" s="277" t="s">
        <v>333</v>
      </c>
      <c r="E161" s="277" t="s">
        <v>336</v>
      </c>
      <c r="F161" s="280" t="s">
        <v>337</v>
      </c>
    </row>
    <row r="162" spans="2:8">
      <c r="B162" s="272"/>
      <c r="C162" s="275">
        <f>SUM(H12:H21)+H33+I73+SUM(H79:H80)</f>
        <v>38161.459000000003</v>
      </c>
      <c r="D162" s="275">
        <f>SUM(I12:I21)+I33+SUM(J39:J62)+SUM(I79:I80)</f>
        <v>26126.120000000003</v>
      </c>
      <c r="E162" s="275">
        <f>SUM(L12:L21)+SUM(L29:L31)+SUM(M39:M62)+SUM(L79:L80)</f>
        <v>4947.5449999999983</v>
      </c>
      <c r="F162" s="276">
        <f>SUM(I64:I71)</f>
        <v>7087.7939999999999</v>
      </c>
      <c r="G162" s="60"/>
      <c r="H162" s="60"/>
    </row>
    <row r="163" spans="2:8">
      <c r="B163" s="269" t="s">
        <v>335</v>
      </c>
      <c r="C163" s="270" t="s">
        <v>332</v>
      </c>
      <c r="D163" s="270" t="s">
        <v>333</v>
      </c>
      <c r="E163" s="270" t="s">
        <v>336</v>
      </c>
      <c r="F163" s="279" t="s">
        <v>337</v>
      </c>
      <c r="G163" s="60"/>
      <c r="H163" s="60"/>
    </row>
    <row r="164" spans="2:8">
      <c r="B164" s="272"/>
      <c r="C164" s="274">
        <f>SUM(H82:H86,H99,H107,H153)</f>
        <v>40813.304000000004</v>
      </c>
      <c r="D164" s="274">
        <f>SUM(I82:I86,I153)</f>
        <v>30631.469999999994</v>
      </c>
      <c r="E164" s="274">
        <f>SUM(L82:L86,L153)</f>
        <v>5401.1184999999996</v>
      </c>
      <c r="F164" s="278">
        <f>SUM(H99,H107)</f>
        <v>3369.05</v>
      </c>
      <c r="G164" s="60"/>
      <c r="H164" s="60"/>
    </row>
    <row r="165" spans="2:8">
      <c r="B165" s="649" t="s">
        <v>259</v>
      </c>
      <c r="C165" s="650"/>
      <c r="F165" s="181"/>
      <c r="G165" s="60"/>
      <c r="H165" s="60"/>
    </row>
    <row r="166" spans="2:8">
      <c r="B166" s="273" t="s">
        <v>253</v>
      </c>
      <c r="C166" s="182">
        <f>N23+N33+P73+O153+N88</f>
        <v>7683.1399999999994</v>
      </c>
      <c r="D166" s="60"/>
      <c r="E166" s="60"/>
      <c r="F166" s="60"/>
      <c r="G166" s="60"/>
      <c r="H166" s="60"/>
    </row>
    <row r="167" spans="2:8">
      <c r="C167" s="60"/>
      <c r="D167" s="60"/>
      <c r="E167" s="60"/>
      <c r="F167" s="60"/>
      <c r="G167" s="60"/>
      <c r="H167" s="60"/>
    </row>
    <row r="168" spans="2:8">
      <c r="C168" s="60"/>
      <c r="D168" s="60"/>
      <c r="E168" s="60"/>
      <c r="F168" s="60"/>
      <c r="G168" s="60"/>
      <c r="H168" s="60"/>
    </row>
    <row r="169" spans="2:8" ht="24">
      <c r="B169" s="648" t="s">
        <v>534</v>
      </c>
      <c r="C169" s="648"/>
      <c r="D169" s="648"/>
      <c r="E169" s="648"/>
      <c r="H169" s="60"/>
    </row>
    <row r="170" spans="2:8">
      <c r="B170" s="110"/>
      <c r="C170" s="110"/>
      <c r="D170" s="110"/>
      <c r="E170" s="110"/>
      <c r="H170" s="60"/>
    </row>
    <row r="171" spans="2:8">
      <c r="B171" s="531" t="s">
        <v>535</v>
      </c>
      <c r="C171" s="531" t="s">
        <v>536</v>
      </c>
      <c r="D171" s="531" t="s">
        <v>537</v>
      </c>
      <c r="E171" s="531" t="s">
        <v>39</v>
      </c>
      <c r="H171" s="60"/>
    </row>
    <row r="172" spans="2:8">
      <c r="B172" s="63" t="s">
        <v>318</v>
      </c>
      <c r="C172" s="98">
        <f>SUM(H82:H86)</f>
        <v>1804.9</v>
      </c>
      <c r="D172" s="548">
        <f>SUM(L82:L86)</f>
        <v>268</v>
      </c>
      <c r="E172" s="532" t="s">
        <v>526</v>
      </c>
      <c r="H172" s="60"/>
    </row>
    <row r="173" spans="2:8">
      <c r="B173" s="63" t="s">
        <v>527</v>
      </c>
      <c r="C173" s="98">
        <f>H99</f>
        <v>3039.05</v>
      </c>
      <c r="D173" s="549">
        <f>K99</f>
        <v>455.86</v>
      </c>
      <c r="E173" s="533" t="s">
        <v>528</v>
      </c>
      <c r="H173" s="60"/>
    </row>
    <row r="174" spans="2:8">
      <c r="B174" s="63" t="s">
        <v>538</v>
      </c>
      <c r="C174" s="98">
        <f>H107</f>
        <v>330</v>
      </c>
      <c r="D174" s="549">
        <f>K107</f>
        <v>49.5</v>
      </c>
      <c r="E174" s="533" t="s">
        <v>528</v>
      </c>
      <c r="H174" s="60"/>
    </row>
    <row r="175" spans="2:8">
      <c r="B175" s="63" t="s">
        <v>539</v>
      </c>
      <c r="C175" s="98">
        <f>H153</f>
        <v>35639.353999999999</v>
      </c>
      <c r="D175" s="548">
        <f>L153</f>
        <v>5133.1184999999996</v>
      </c>
      <c r="E175" s="532" t="s">
        <v>526</v>
      </c>
      <c r="H175" s="60"/>
    </row>
    <row r="176" spans="2:8">
      <c r="B176" s="534" t="s">
        <v>564</v>
      </c>
      <c r="C176" s="535">
        <f>H152*COUNTBLANK(H147:H151)</f>
        <v>5020.6900740740739</v>
      </c>
      <c r="D176" s="550">
        <f>C176*M152</f>
        <v>753.13278603653384</v>
      </c>
      <c r="E176" s="536" t="s">
        <v>529</v>
      </c>
      <c r="H176" s="60"/>
    </row>
    <row r="177" spans="2:8">
      <c r="B177" s="537" t="s">
        <v>540</v>
      </c>
      <c r="C177" s="538">
        <f>SUM(C172:C176)</f>
        <v>45833.994074074079</v>
      </c>
      <c r="D177" s="551">
        <f>D184</f>
        <v>6154.2512860365332</v>
      </c>
      <c r="E177" s="539" t="s">
        <v>541</v>
      </c>
      <c r="H177" s="60"/>
    </row>
    <row r="178" spans="2:8">
      <c r="B178" s="110"/>
      <c r="C178" s="110"/>
      <c r="D178" s="552"/>
      <c r="E178" s="110"/>
      <c r="H178" s="60"/>
    </row>
    <row r="179" spans="2:8">
      <c r="B179" s="540" t="s">
        <v>530</v>
      </c>
      <c r="C179" s="541" t="s">
        <v>542</v>
      </c>
      <c r="D179" s="548">
        <f>MAX(0,MIN(C177,45000)-18200)*0.16+MAX(0,MIN(C177,135000)-45000)*0.3</f>
        <v>4538.1982222222232</v>
      </c>
      <c r="E179" s="542"/>
      <c r="H179" s="60"/>
    </row>
    <row r="180" spans="2:8">
      <c r="B180" s="540" t="s">
        <v>531</v>
      </c>
      <c r="C180" s="543">
        <v>0.02</v>
      </c>
      <c r="D180" s="548">
        <f>C177*0.02</f>
        <v>916.67988148148163</v>
      </c>
      <c r="E180" s="542"/>
      <c r="H180" s="60"/>
    </row>
    <row r="181" spans="2:8">
      <c r="B181" s="540" t="s">
        <v>543</v>
      </c>
      <c r="C181" s="541" t="s">
        <v>544</v>
      </c>
      <c r="D181" s="553">
        <f>-IF(C177&lt;=45000,700,IF(C177&lt;=66667,MAX(0,700-(C177-45000)*0.015),IF(C177&lt;=100000,MAX(0,375-(C177-66667)*0.015),0)))</f>
        <v>-687.49008888888886</v>
      </c>
      <c r="E181" s="542"/>
      <c r="H181" s="60"/>
    </row>
    <row r="182" spans="2:8">
      <c r="B182" s="537" t="s">
        <v>545</v>
      </c>
      <c r="C182" s="544"/>
      <c r="D182" s="551">
        <f>D179+D180+D181</f>
        <v>4767.3880148148164</v>
      </c>
      <c r="E182" s="544"/>
      <c r="H182" s="60"/>
    </row>
    <row r="183" spans="2:8">
      <c r="B183" s="110"/>
      <c r="C183" s="110"/>
      <c r="D183" s="552"/>
      <c r="E183" s="110"/>
    </row>
    <row r="184" spans="2:8">
      <c r="B184" s="540" t="s">
        <v>525</v>
      </c>
      <c r="C184" s="545"/>
      <c r="D184" s="548">
        <f>D172+D175+D176</f>
        <v>6154.2512860365332</v>
      </c>
      <c r="E184" s="546" t="s">
        <v>546</v>
      </c>
    </row>
    <row r="185" spans="2:8">
      <c r="B185" s="540" t="s">
        <v>547</v>
      </c>
      <c r="C185" s="545"/>
      <c r="D185" s="554">
        <f>-D182</f>
        <v>-4767.3880148148164</v>
      </c>
      <c r="E185" s="547" t="s">
        <v>533</v>
      </c>
    </row>
    <row r="186" spans="2:8" ht="17" thickBot="1">
      <c r="B186" s="555"/>
      <c r="C186" s="555"/>
      <c r="D186" s="556"/>
      <c r="E186" s="555"/>
    </row>
    <row r="187" spans="2:8" ht="19" thickBot="1">
      <c r="B187" s="557"/>
      <c r="C187" s="558" t="s">
        <v>532</v>
      </c>
      <c r="D187" s="559">
        <f>D184+D185</f>
        <v>1386.8632712217168</v>
      </c>
      <c r="E187" s="560" t="str">
        <f>IF(D187&gt;=0,"REFUND","TO PAY")</f>
        <v>REFUND</v>
      </c>
    </row>
    <row r="188" spans="2:8">
      <c r="B188"/>
    </row>
    <row r="189" spans="2:8">
      <c r="B189" s="528" t="s">
        <v>548</v>
      </c>
      <c r="C189" s="529">
        <f>D182/C177</f>
        <v>0.10401423901897044</v>
      </c>
      <c r="D189" s="530" t="s">
        <v>565</v>
      </c>
    </row>
    <row r="190" spans="2:8">
      <c r="B190"/>
    </row>
    <row r="191" spans="2:8">
      <c r="B191"/>
    </row>
    <row r="192" spans="2:8">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sheetData>
  <mergeCells count="125">
    <mergeCell ref="B158:F158"/>
    <mergeCell ref="B102:K102"/>
    <mergeCell ref="B74:K74"/>
    <mergeCell ref="O61:O62"/>
    <mergeCell ref="N61:N62"/>
    <mergeCell ref="B61:B62"/>
    <mergeCell ref="C61:C62"/>
    <mergeCell ref="I61:I62"/>
    <mergeCell ref="L77:M77"/>
    <mergeCell ref="H77:J77"/>
    <mergeCell ref="B76:O76"/>
    <mergeCell ref="B82:B84"/>
    <mergeCell ref="C82:C84"/>
    <mergeCell ref="H82:H84"/>
    <mergeCell ref="I82:I84"/>
    <mergeCell ref="J82:J84"/>
    <mergeCell ref="K82:K84"/>
    <mergeCell ref="L82:L84"/>
    <mergeCell ref="M82:M84"/>
    <mergeCell ref="N82:N84"/>
    <mergeCell ref="B81:N81"/>
    <mergeCell ref="B40:B42"/>
    <mergeCell ref="G40:G42"/>
    <mergeCell ref="B4:N4"/>
    <mergeCell ref="B26:N26"/>
    <mergeCell ref="H27:J27"/>
    <mergeCell ref="L27:M27"/>
    <mergeCell ref="B11:N11"/>
    <mergeCell ref="K14:K16"/>
    <mergeCell ref="I14:I16"/>
    <mergeCell ref="L14:L16"/>
    <mergeCell ref="M14:M16"/>
    <mergeCell ref="J14:J16"/>
    <mergeCell ref="N14:N16"/>
    <mergeCell ref="H14:H16"/>
    <mergeCell ref="B14:B16"/>
    <mergeCell ref="C14:C16"/>
    <mergeCell ref="B27:F27"/>
    <mergeCell ref="B5:F5"/>
    <mergeCell ref="P40:P42"/>
    <mergeCell ref="P44:P45"/>
    <mergeCell ref="P46:P48"/>
    <mergeCell ref="P49:P52"/>
    <mergeCell ref="P53:P54"/>
    <mergeCell ref="P55:P57"/>
    <mergeCell ref="P58:P60"/>
    <mergeCell ref="P61:P62"/>
    <mergeCell ref="L40:L42"/>
    <mergeCell ref="M40:M42"/>
    <mergeCell ref="O40:O42"/>
    <mergeCell ref="L44:L45"/>
    <mergeCell ref="M44:M45"/>
    <mergeCell ref="O44:O45"/>
    <mergeCell ref="L46:L48"/>
    <mergeCell ref="M46:M48"/>
    <mergeCell ref="O46:O48"/>
    <mergeCell ref="O55:O57"/>
    <mergeCell ref="L58:L60"/>
    <mergeCell ref="M58:M60"/>
    <mergeCell ref="O58:O60"/>
    <mergeCell ref="N55:N57"/>
    <mergeCell ref="N58:N60"/>
    <mergeCell ref="L61:L62"/>
    <mergeCell ref="G58:G60"/>
    <mergeCell ref="G61:G62"/>
    <mergeCell ref="B63:P63"/>
    <mergeCell ref="I49:I52"/>
    <mergeCell ref="I46:I48"/>
    <mergeCell ref="I44:I45"/>
    <mergeCell ref="O49:O52"/>
    <mergeCell ref="O53:O54"/>
    <mergeCell ref="H111:J111"/>
    <mergeCell ref="L111:M111"/>
    <mergeCell ref="B111:F111"/>
    <mergeCell ref="B93:F93"/>
    <mergeCell ref="B103:F103"/>
    <mergeCell ref="B58:B60"/>
    <mergeCell ref="C58:C60"/>
    <mergeCell ref="I58:I60"/>
    <mergeCell ref="K58:K60"/>
    <mergeCell ref="B55:B57"/>
    <mergeCell ref="C55:C57"/>
    <mergeCell ref="I55:I57"/>
    <mergeCell ref="B110:O110"/>
    <mergeCell ref="B92:K92"/>
    <mergeCell ref="K61:K62"/>
    <mergeCell ref="M61:M62"/>
    <mergeCell ref="I53:I54"/>
    <mergeCell ref="J44:J45"/>
    <mergeCell ref="K44:K45"/>
    <mergeCell ref="K55:K57"/>
    <mergeCell ref="K40:K42"/>
    <mergeCell ref="K49:K52"/>
    <mergeCell ref="K53:K54"/>
    <mergeCell ref="C44:C45"/>
    <mergeCell ref="K46:K48"/>
    <mergeCell ref="G44:G45"/>
    <mergeCell ref="G46:G48"/>
    <mergeCell ref="G49:G52"/>
    <mergeCell ref="G53:G54"/>
    <mergeCell ref="G55:G57"/>
    <mergeCell ref="B169:E169"/>
    <mergeCell ref="B165:C165"/>
    <mergeCell ref="B36:P36"/>
    <mergeCell ref="L49:L52"/>
    <mergeCell ref="L53:L54"/>
    <mergeCell ref="L55:L57"/>
    <mergeCell ref="M49:M52"/>
    <mergeCell ref="M53:M54"/>
    <mergeCell ref="M55:M57"/>
    <mergeCell ref="N44:N45"/>
    <mergeCell ref="N40:N42"/>
    <mergeCell ref="N46:N48"/>
    <mergeCell ref="N49:N52"/>
    <mergeCell ref="N53:N54"/>
    <mergeCell ref="B37:F37"/>
    <mergeCell ref="C40:C42"/>
    <mergeCell ref="B44:B45"/>
    <mergeCell ref="C46:C48"/>
    <mergeCell ref="B46:B48"/>
    <mergeCell ref="B53:B54"/>
    <mergeCell ref="C53:C54"/>
    <mergeCell ref="B49:B52"/>
    <mergeCell ref="C49:C52"/>
    <mergeCell ref="I40:I42"/>
  </mergeCells>
  <phoneticPr fontId="38" type="noConversion"/>
  <conditionalFormatting sqref="D7:D10 D12:D21 D82:D86">
    <cfRule type="cellIs" dxfId="60" priority="54" operator="between">
      <formula>4</formula>
      <formula>4.99</formula>
    </cfRule>
    <cfRule type="cellIs" dxfId="59" priority="53" operator="lessThan">
      <formula>3.99</formula>
    </cfRule>
    <cfRule type="cellIs" dxfId="58" priority="55" operator="greaterThanOrEqual">
      <formula>5</formula>
    </cfRule>
  </conditionalFormatting>
  <conditionalFormatting sqref="D29:D31">
    <cfRule type="cellIs" dxfId="57" priority="41" operator="greaterThanOrEqual">
      <formula>5</formula>
    </cfRule>
    <cfRule type="cellIs" dxfId="56" priority="40" operator="between">
      <formula>4</formula>
      <formula>4.99</formula>
    </cfRule>
    <cfRule type="cellIs" dxfId="55" priority="39" operator="lessThan">
      <formula>3.99</formula>
    </cfRule>
  </conditionalFormatting>
  <conditionalFormatting sqref="D39:D62 D64:D71">
    <cfRule type="cellIs" dxfId="54" priority="25" operator="lessThan">
      <formula>3.99</formula>
    </cfRule>
    <cfRule type="cellIs" dxfId="53" priority="26" operator="between">
      <formula>4</formula>
      <formula>4.99</formula>
    </cfRule>
    <cfRule type="cellIs" dxfId="52" priority="27" operator="greaterThanOrEqual">
      <formula>5</formula>
    </cfRule>
  </conditionalFormatting>
  <conditionalFormatting sqref="D79:D80">
    <cfRule type="cellIs" dxfId="51" priority="12" operator="greaterThanOrEqual">
      <formula>5</formula>
    </cfRule>
    <cfRule type="cellIs" dxfId="50" priority="11" operator="between">
      <formula>4</formula>
      <formula>4.99</formula>
    </cfRule>
    <cfRule type="cellIs" dxfId="49" priority="10" operator="lessThan">
      <formula>3.99</formula>
    </cfRule>
  </conditionalFormatting>
  <conditionalFormatting sqref="D113:D124 D129:D134 D136:D151">
    <cfRule type="cellIs" dxfId="48" priority="63" operator="between">
      <formula>4</formula>
      <formula>4.99</formula>
    </cfRule>
    <cfRule type="cellIs" dxfId="47" priority="62" operator="lessThan">
      <formula>3.99</formula>
    </cfRule>
    <cfRule type="cellIs" dxfId="46" priority="64" operator="greaterThanOrEqual">
      <formula>5</formula>
    </cfRule>
  </conditionalFormatting>
  <conditionalFormatting sqref="E7:E10 E12:E21 E82:E86">
    <cfRule type="cellIs" dxfId="45" priority="58" operator="greaterThanOrEqual">
      <formula>7.5</formula>
    </cfRule>
    <cfRule type="cellIs" dxfId="44" priority="57" operator="between">
      <formula>6.5</formula>
      <formula>7.49</formula>
    </cfRule>
    <cfRule type="cellIs" dxfId="43" priority="56" operator="lessThan">
      <formula>6.49</formula>
    </cfRule>
  </conditionalFormatting>
  <conditionalFormatting sqref="E29:E31">
    <cfRule type="cellIs" dxfId="42" priority="42" operator="lessThan">
      <formula>6.49</formula>
    </cfRule>
    <cfRule type="cellIs" dxfId="41" priority="43" operator="between">
      <formula>6.5</formula>
      <formula>7.49</formula>
    </cfRule>
    <cfRule type="cellIs" dxfId="40" priority="44" operator="greaterThanOrEqual">
      <formula>7.5</formula>
    </cfRule>
  </conditionalFormatting>
  <conditionalFormatting sqref="E39:E62 E64:E71">
    <cfRule type="cellIs" dxfId="39" priority="29" operator="between">
      <formula>6.5</formula>
      <formula>7.49</formula>
    </cfRule>
    <cfRule type="cellIs" dxfId="38" priority="30" operator="greaterThanOrEqual">
      <formula>7.5</formula>
    </cfRule>
    <cfRule type="cellIs" dxfId="37" priority="28" operator="lessThan">
      <formula>6.49</formula>
    </cfRule>
  </conditionalFormatting>
  <conditionalFormatting sqref="E79:E80">
    <cfRule type="cellIs" dxfId="36" priority="7" operator="lessThan">
      <formula>6.49</formula>
    </cfRule>
    <cfRule type="cellIs" dxfId="35" priority="8" operator="between">
      <formula>6.5</formula>
      <formula>7.49</formula>
    </cfRule>
    <cfRule type="cellIs" dxfId="34" priority="9" operator="greaterThanOrEqual">
      <formula>7.5</formula>
    </cfRule>
  </conditionalFormatting>
  <conditionalFormatting sqref="E113:E124 E129:E134 E136:E151">
    <cfRule type="cellIs" dxfId="33" priority="67" operator="greaterThan">
      <formula>7.5</formula>
    </cfRule>
    <cfRule type="cellIs" dxfId="32" priority="66" operator="between">
      <formula>6.5</formula>
      <formula>7.49</formula>
    </cfRule>
    <cfRule type="cellIs" dxfId="31" priority="65" operator="lessThan">
      <formula>6.49</formula>
    </cfRule>
  </conditionalFormatting>
  <conditionalFormatting sqref="F7:F10 F12:F21">
    <cfRule type="cellIs" dxfId="30" priority="61" operator="greaterThanOrEqual">
      <formula>37.5</formula>
    </cfRule>
    <cfRule type="cellIs" dxfId="29" priority="59" operator="lessThan">
      <formula>33.99</formula>
    </cfRule>
    <cfRule type="cellIs" dxfId="28" priority="60" operator="between">
      <formula>34</formula>
      <formula>37.49</formula>
    </cfRule>
  </conditionalFormatting>
  <conditionalFormatting sqref="F29:F31">
    <cfRule type="cellIs" dxfId="27" priority="47" operator="greaterThanOrEqual">
      <formula>37.5</formula>
    </cfRule>
    <cfRule type="cellIs" dxfId="26" priority="46" operator="between">
      <formula>34</formula>
      <formula>37.49</formula>
    </cfRule>
    <cfRule type="cellIs" dxfId="25" priority="45" operator="lessThan">
      <formula>33.99</formula>
    </cfRule>
  </conditionalFormatting>
  <conditionalFormatting sqref="F39:F62 F64:F71">
    <cfRule type="cellIs" dxfId="24" priority="33" operator="greaterThanOrEqual">
      <formula>37.5</formula>
    </cfRule>
    <cfRule type="cellIs" dxfId="23" priority="31" operator="lessThan">
      <formula>33.99</formula>
    </cfRule>
    <cfRule type="cellIs" dxfId="22" priority="32" operator="between">
      <formula>34</formula>
      <formula>37.49</formula>
    </cfRule>
  </conditionalFormatting>
  <conditionalFormatting sqref="F79:F80 F82:F86">
    <cfRule type="cellIs" dxfId="21" priority="4" operator="lessThan">
      <formula>33.99</formula>
    </cfRule>
    <cfRule type="cellIs" dxfId="20" priority="6" operator="greaterThan">
      <formula>37.5</formula>
    </cfRule>
    <cfRule type="cellIs" dxfId="19" priority="5" operator="between">
      <formula>34</formula>
      <formula>37.49</formula>
    </cfRule>
  </conditionalFormatting>
  <conditionalFormatting sqref="F113:F124 F129:F134 F136:F151">
    <cfRule type="cellIs" dxfId="18" priority="68" operator="lessThan">
      <formula>33.99</formula>
    </cfRule>
    <cfRule type="cellIs" dxfId="17" priority="69" operator="between">
      <formula>34</formula>
      <formula>37.49</formula>
    </cfRule>
  </conditionalFormatting>
  <conditionalFormatting sqref="F113:F124 F129:F151">
    <cfRule type="cellIs" dxfId="16" priority="70" operator="greaterThan">
      <formula>37.5</formula>
    </cfRule>
  </conditionalFormatting>
  <conditionalFormatting sqref="G39:G62 G64:G71">
    <cfRule type="cellIs" dxfId="15" priority="15" operator="lessThan">
      <formula>33.99</formula>
    </cfRule>
    <cfRule type="cellIs" dxfId="14" priority="14" operator="between">
      <formula>34</formula>
      <formula>37.49</formula>
    </cfRule>
    <cfRule type="cellIs" dxfId="13" priority="13" operator="greaterThanOrEqual">
      <formula>37.5</formula>
    </cfRule>
  </conditionalFormatting>
  <pageMargins left="0.7" right="0.7" top="0.75" bottom="0.75" header="0.3" footer="0.3"/>
  <ignoredErrors>
    <ignoredError sqref="J17 J21" formulaRange="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6708-2CAB-2947-AE47-0AA0ECB30D03}">
  <dimension ref="A1:AE34"/>
  <sheetViews>
    <sheetView zoomScaleNormal="210" workbookViewId="0">
      <selection activeCell="X28" sqref="X28"/>
    </sheetView>
  </sheetViews>
  <sheetFormatPr baseColWidth="10" defaultColWidth="10.83203125" defaultRowHeight="13"/>
  <cols>
    <col min="1" max="1" width="10.83203125" style="56"/>
    <col min="2" max="2" width="19.5" style="56" bestFit="1" customWidth="1"/>
    <col min="3" max="3" width="14" style="56" bestFit="1" customWidth="1"/>
    <col min="4" max="4" width="12.83203125" style="56" bestFit="1" customWidth="1"/>
    <col min="5" max="5" width="11.1640625" style="56" bestFit="1" customWidth="1"/>
    <col min="6" max="6" width="23.6640625" style="56" customWidth="1"/>
    <col min="7" max="7" width="1.83203125" style="56" customWidth="1"/>
    <col min="8" max="8" width="20.83203125" style="56" bestFit="1" customWidth="1"/>
    <col min="9" max="9" width="14" style="56" bestFit="1" customWidth="1"/>
    <col min="10" max="10" width="12.6640625" style="56" bestFit="1" customWidth="1"/>
    <col min="11" max="11" width="13.5" style="56" customWidth="1"/>
    <col min="12" max="12" width="24.1640625" style="56" bestFit="1" customWidth="1"/>
    <col min="13" max="13" width="1.6640625" style="56" customWidth="1"/>
    <col min="14" max="14" width="20.83203125" style="56" bestFit="1" customWidth="1"/>
    <col min="15" max="15" width="14" style="56" bestFit="1" customWidth="1"/>
    <col min="16" max="16" width="12.6640625" style="56" bestFit="1" customWidth="1"/>
    <col min="17" max="17" width="10.1640625" style="56" bestFit="1" customWidth="1"/>
    <col min="18" max="18" width="24.1640625" style="56" bestFit="1" customWidth="1"/>
    <col min="19" max="19" width="2" style="56" customWidth="1"/>
    <col min="20" max="20" width="19.83203125" style="56" bestFit="1" customWidth="1"/>
    <col min="21" max="22" width="14.83203125" style="56" bestFit="1" customWidth="1"/>
    <col min="23" max="23" width="12.33203125" style="56" bestFit="1" customWidth="1"/>
    <col min="24" max="24" width="24.1640625" style="56" bestFit="1" customWidth="1"/>
    <col min="25" max="25" width="2" style="56" customWidth="1"/>
    <col min="26" max="26" width="22.83203125" style="56" bestFit="1" customWidth="1"/>
    <col min="27" max="27" width="14" style="56" bestFit="1" customWidth="1"/>
    <col min="28" max="28" width="12.6640625" style="56" bestFit="1" customWidth="1"/>
    <col min="29" max="29" width="10.1640625" style="56" bestFit="1" customWidth="1"/>
    <col min="30" max="30" width="24.1640625" style="56" bestFit="1" customWidth="1"/>
    <col min="31" max="31" width="2.33203125" style="56" customWidth="1"/>
    <col min="32" max="16384" width="10.83203125" style="56"/>
  </cols>
  <sheetData>
    <row r="1" spans="1:31">
      <c r="G1" s="159"/>
      <c r="S1" s="159"/>
      <c r="Y1" s="228"/>
      <c r="AE1" s="228"/>
    </row>
    <row r="2" spans="1:31" ht="18">
      <c r="A2" s="744" t="s">
        <v>457</v>
      </c>
      <c r="B2" s="745"/>
      <c r="C2" s="745"/>
      <c r="D2" s="745"/>
      <c r="E2" s="745"/>
      <c r="F2" s="746"/>
      <c r="G2" s="159"/>
      <c r="H2" s="747" t="s">
        <v>458</v>
      </c>
      <c r="I2" s="747"/>
      <c r="J2" s="747"/>
      <c r="K2" s="747"/>
      <c r="L2" s="747"/>
      <c r="M2" s="747"/>
      <c r="N2" s="747"/>
      <c r="O2" s="747"/>
      <c r="P2" s="747"/>
      <c r="Q2" s="747"/>
      <c r="R2" s="747"/>
      <c r="S2" s="159"/>
      <c r="T2" s="748" t="s">
        <v>459</v>
      </c>
      <c r="U2" s="748"/>
      <c r="V2" s="748"/>
      <c r="W2" s="748"/>
      <c r="X2" s="748"/>
      <c r="Y2" s="228"/>
      <c r="Z2" s="772" t="s">
        <v>467</v>
      </c>
      <c r="AA2" s="772"/>
      <c r="AB2" s="772"/>
      <c r="AC2" s="772"/>
      <c r="AD2" s="772"/>
      <c r="AE2" s="228"/>
    </row>
    <row r="3" spans="1:31">
      <c r="G3" s="159"/>
      <c r="M3" s="228"/>
      <c r="S3" s="159"/>
      <c r="Y3" s="228"/>
      <c r="AE3" s="228"/>
    </row>
    <row r="4" spans="1:31">
      <c r="B4" s="755" t="s">
        <v>144</v>
      </c>
      <c r="C4" s="755"/>
      <c r="D4" s="755"/>
      <c r="E4" s="755"/>
      <c r="G4" s="159"/>
      <c r="H4" s="755" t="s">
        <v>367</v>
      </c>
      <c r="I4" s="755"/>
      <c r="J4" s="755"/>
      <c r="K4" s="755"/>
      <c r="M4" s="159"/>
      <c r="N4" s="755" t="s">
        <v>370</v>
      </c>
      <c r="O4" s="755"/>
      <c r="P4" s="755"/>
      <c r="Q4" s="755"/>
      <c r="S4" s="159"/>
      <c r="T4" s="760" t="s">
        <v>453</v>
      </c>
      <c r="U4" s="761"/>
      <c r="V4" s="761"/>
      <c r="W4" s="762"/>
      <c r="Y4" s="228"/>
      <c r="Z4" s="760" t="s">
        <v>460</v>
      </c>
      <c r="AA4" s="761"/>
      <c r="AB4" s="761"/>
      <c r="AC4" s="762"/>
      <c r="AE4" s="228"/>
    </row>
    <row r="5" spans="1:31">
      <c r="B5" s="74" t="s">
        <v>80</v>
      </c>
      <c r="C5" s="74" t="s">
        <v>138</v>
      </c>
      <c r="D5" s="74" t="s">
        <v>139</v>
      </c>
      <c r="E5" s="74" t="s">
        <v>141</v>
      </c>
      <c r="G5" s="159"/>
      <c r="H5" s="283" t="s">
        <v>80</v>
      </c>
      <c r="I5" s="283" t="s">
        <v>138</v>
      </c>
      <c r="J5" s="283" t="s">
        <v>366</v>
      </c>
      <c r="K5" s="283" t="s">
        <v>463</v>
      </c>
      <c r="M5" s="159"/>
      <c r="N5" s="283" t="s">
        <v>80</v>
      </c>
      <c r="O5" s="283" t="s">
        <v>138</v>
      </c>
      <c r="P5" s="283" t="s">
        <v>366</v>
      </c>
      <c r="Q5" s="283" t="s">
        <v>463</v>
      </c>
      <c r="S5" s="159"/>
      <c r="T5" s="283" t="s">
        <v>80</v>
      </c>
      <c r="U5" s="283" t="s">
        <v>138</v>
      </c>
      <c r="V5" s="283" t="s">
        <v>462</v>
      </c>
      <c r="W5" s="283" t="s">
        <v>463</v>
      </c>
      <c r="Y5" s="228"/>
      <c r="Z5" s="65" t="s">
        <v>80</v>
      </c>
      <c r="AA5" s="65" t="s">
        <v>138</v>
      </c>
      <c r="AB5" s="65" t="s">
        <v>466</v>
      </c>
      <c r="AC5" s="65" t="s">
        <v>463</v>
      </c>
      <c r="AE5" s="228"/>
    </row>
    <row r="6" spans="1:31">
      <c r="B6" s="284">
        <v>45952</v>
      </c>
      <c r="C6" s="329">
        <v>40</v>
      </c>
      <c r="D6" s="330">
        <v>2.3652999999999999E-4</v>
      </c>
      <c r="E6" s="329">
        <v>168492</v>
      </c>
      <c r="G6" s="159"/>
      <c r="H6" s="284">
        <v>46125</v>
      </c>
      <c r="I6" s="54">
        <v>80</v>
      </c>
      <c r="J6" s="63">
        <v>1.0369999999999999</v>
      </c>
      <c r="K6" s="54">
        <v>77.14</v>
      </c>
      <c r="M6" s="159"/>
      <c r="N6" s="284">
        <v>46125</v>
      </c>
      <c r="O6" s="54">
        <v>20</v>
      </c>
      <c r="P6" s="63">
        <v>0.2278</v>
      </c>
      <c r="Q6" s="54">
        <v>87.76</v>
      </c>
      <c r="S6" s="159"/>
      <c r="T6" s="284">
        <v>46133</v>
      </c>
      <c r="U6" s="54">
        <v>30</v>
      </c>
      <c r="V6" s="63">
        <v>0.22</v>
      </c>
      <c r="W6" s="54">
        <v>136.34</v>
      </c>
      <c r="Y6" s="228"/>
      <c r="Z6" s="69">
        <v>46135</v>
      </c>
      <c r="AA6" s="75">
        <v>67.52</v>
      </c>
      <c r="AB6" s="63">
        <v>9.8900000000000002E-2</v>
      </c>
      <c r="AC6" s="54">
        <v>652.35</v>
      </c>
      <c r="AE6" s="228"/>
    </row>
    <row r="7" spans="1:31">
      <c r="B7" s="284">
        <v>45958</v>
      </c>
      <c r="C7" s="329">
        <v>0</v>
      </c>
      <c r="D7" s="331">
        <v>4.3570000000000002E-4</v>
      </c>
      <c r="E7" s="329">
        <v>171542</v>
      </c>
      <c r="G7" s="159"/>
      <c r="H7" s="284">
        <v>46128</v>
      </c>
      <c r="I7" s="54">
        <v>80</v>
      </c>
      <c r="J7" s="63">
        <v>1.0198</v>
      </c>
      <c r="K7" s="54">
        <v>78.44</v>
      </c>
      <c r="M7" s="159"/>
      <c r="N7" s="284">
        <v>46128</v>
      </c>
      <c r="O7" s="54">
        <v>20</v>
      </c>
      <c r="P7" s="63">
        <v>0.22270000000000001</v>
      </c>
      <c r="Q7" s="54">
        <v>89.8</v>
      </c>
      <c r="S7" s="159"/>
      <c r="T7" s="284"/>
      <c r="U7" s="54"/>
      <c r="V7" s="63"/>
      <c r="W7" s="54"/>
      <c r="Y7" s="228"/>
      <c r="Z7" s="69"/>
      <c r="AA7" s="75"/>
      <c r="AB7" s="63"/>
      <c r="AC7" s="54"/>
      <c r="AE7" s="228"/>
    </row>
    <row r="8" spans="1:31">
      <c r="B8" s="284">
        <v>45960</v>
      </c>
      <c r="C8" s="329">
        <v>14</v>
      </c>
      <c r="D8" s="330">
        <v>8.1719999999999997E-5</v>
      </c>
      <c r="E8" s="329">
        <v>171301</v>
      </c>
      <c r="G8" s="159"/>
      <c r="H8" s="284">
        <v>46134</v>
      </c>
      <c r="I8" s="54">
        <v>80</v>
      </c>
      <c r="J8" s="63">
        <v>1.0134000000000001</v>
      </c>
      <c r="K8" s="54">
        <v>78.94</v>
      </c>
      <c r="M8" s="159"/>
      <c r="N8" s="284">
        <v>46134</v>
      </c>
      <c r="O8" s="54">
        <v>20</v>
      </c>
      <c r="P8" s="63">
        <v>0.2205</v>
      </c>
      <c r="Q8" s="54">
        <v>90.69</v>
      </c>
      <c r="S8" s="159"/>
      <c r="T8" s="285"/>
      <c r="U8" s="54"/>
      <c r="V8" s="63"/>
      <c r="W8" s="54"/>
      <c r="Y8" s="228"/>
      <c r="Z8" s="63"/>
      <c r="AA8" s="75"/>
      <c r="AB8" s="63"/>
      <c r="AC8" s="54"/>
      <c r="AE8" s="228"/>
    </row>
    <row r="9" spans="1:31">
      <c r="B9" s="284">
        <v>45966</v>
      </c>
      <c r="C9" s="329">
        <v>35</v>
      </c>
      <c r="D9" s="330">
        <v>2.2173000000000001E-4</v>
      </c>
      <c r="E9" s="329">
        <v>157000</v>
      </c>
      <c r="G9" s="159"/>
      <c r="H9" s="284">
        <v>46140</v>
      </c>
      <c r="I9" s="54">
        <v>28</v>
      </c>
      <c r="J9" s="63">
        <v>0.35399999999999998</v>
      </c>
      <c r="K9" s="54">
        <v>79.09</v>
      </c>
      <c r="M9" s="159"/>
      <c r="N9" s="284">
        <v>46140</v>
      </c>
      <c r="O9" s="54">
        <v>10</v>
      </c>
      <c r="P9" s="63">
        <v>0.1108</v>
      </c>
      <c r="Q9" s="54">
        <v>90.24</v>
      </c>
      <c r="S9" s="159"/>
      <c r="T9" s="53" t="s">
        <v>464</v>
      </c>
      <c r="U9" s="185">
        <f>SUM(U6:U8)</f>
        <v>30</v>
      </c>
      <c r="V9" s="287">
        <f>SUM(V6:V8)</f>
        <v>0.22</v>
      </c>
      <c r="W9" s="185">
        <f>U9/V9</f>
        <v>136.36363636363637</v>
      </c>
      <c r="X9" s="185" t="s">
        <v>293</v>
      </c>
      <c r="Y9" s="228"/>
      <c r="Z9" s="53" t="s">
        <v>464</v>
      </c>
      <c r="AA9" s="296">
        <f>SUM(AA6:AA8)</f>
        <v>67.52</v>
      </c>
      <c r="AB9" s="287">
        <f>SUM(AB6:AB8)</f>
        <v>9.8900000000000002E-2</v>
      </c>
      <c r="AC9" s="185">
        <f>AVERAGE(AC6:AC8)</f>
        <v>652.35</v>
      </c>
      <c r="AD9" s="185" t="s">
        <v>293</v>
      </c>
      <c r="AE9" s="228"/>
    </row>
    <row r="10" spans="1:31">
      <c r="B10" s="284">
        <v>45976</v>
      </c>
      <c r="C10" s="329">
        <v>10</v>
      </c>
      <c r="D10" s="330">
        <v>6.7630000000000001E-5</v>
      </c>
      <c r="E10" s="329">
        <v>147851.70000000001</v>
      </c>
      <c r="G10" s="159"/>
      <c r="H10" s="284">
        <v>46148</v>
      </c>
      <c r="I10" s="54">
        <v>25</v>
      </c>
      <c r="J10" s="63">
        <v>0.31290000000000001</v>
      </c>
      <c r="K10" s="54">
        <v>79.89</v>
      </c>
      <c r="M10" s="159"/>
      <c r="N10" s="284">
        <v>46148</v>
      </c>
      <c r="O10" s="54">
        <v>10</v>
      </c>
      <c r="P10" s="63">
        <v>0.10929999999999999</v>
      </c>
      <c r="Q10" s="54">
        <v>91.44</v>
      </c>
      <c r="S10" s="159"/>
      <c r="T10" s="73" t="s">
        <v>147</v>
      </c>
      <c r="U10" s="66">
        <f ca="1">V9*W10</f>
        <v>21.551199999999998</v>
      </c>
      <c r="V10" s="73"/>
      <c r="W10" s="66" cm="1">
        <f t="array" aca="1" ref="W10" ca="1">_xlfn.FIELDVALUE(U11,"Price")</f>
        <v>97.96</v>
      </c>
      <c r="Y10" s="228"/>
      <c r="Z10" s="73" t="s">
        <v>468</v>
      </c>
      <c r="AA10" s="76">
        <f ca="1">AB9*AC10</f>
        <v>67.196616000000006</v>
      </c>
      <c r="AB10" s="73"/>
      <c r="AC10" s="66" cm="1">
        <f t="array" aca="1" ref="AC10" ca="1">_xlfn.FIELDVALUE(AA12,"Price")</f>
        <v>679.44</v>
      </c>
      <c r="AE10" s="228"/>
    </row>
    <row r="11" spans="1:31">
      <c r="B11" s="284">
        <v>45981</v>
      </c>
      <c r="C11" s="329">
        <v>30</v>
      </c>
      <c r="D11" s="330">
        <v>2.1373E-4</v>
      </c>
      <c r="E11" s="329">
        <v>140363.79999999999</v>
      </c>
      <c r="G11" s="159"/>
      <c r="H11" s="284">
        <v>46155</v>
      </c>
      <c r="I11" s="54">
        <v>25</v>
      </c>
      <c r="J11" s="63">
        <v>0.30830000000000002</v>
      </c>
      <c r="K11" s="54">
        <v>81.06</v>
      </c>
      <c r="M11" s="159"/>
      <c r="N11" s="284">
        <v>46155</v>
      </c>
      <c r="O11" s="54">
        <v>10</v>
      </c>
      <c r="P11" s="63">
        <v>0.1091</v>
      </c>
      <c r="Q11" s="54">
        <v>91.64</v>
      </c>
      <c r="S11" s="159"/>
      <c r="T11" s="73" t="s">
        <v>140</v>
      </c>
      <c r="U11" s="756" t="e" vm="2">
        <v>#VALUE!</v>
      </c>
      <c r="V11" s="757"/>
      <c r="W11" s="758"/>
      <c r="Y11" s="228"/>
      <c r="Z11" s="336" t="s">
        <v>469</v>
      </c>
      <c r="AA11" s="773">
        <f ca="1">AA10*AB15</f>
        <v>93.940869168000006</v>
      </c>
      <c r="AB11" s="774"/>
      <c r="AC11" s="775"/>
      <c r="AE11" s="228"/>
    </row>
    <row r="12" spans="1:31">
      <c r="B12" s="284">
        <v>45982</v>
      </c>
      <c r="C12" s="329">
        <v>30</v>
      </c>
      <c r="D12" s="330">
        <v>2.2143E-4</v>
      </c>
      <c r="E12" s="329">
        <v>134426.20000000001</v>
      </c>
      <c r="G12" s="159"/>
      <c r="H12" s="285"/>
      <c r="I12" s="54"/>
      <c r="J12" s="63"/>
      <c r="K12" s="54"/>
      <c r="M12" s="159"/>
      <c r="N12" s="285"/>
      <c r="O12" s="54"/>
      <c r="P12" s="63"/>
      <c r="Q12" s="54"/>
      <c r="S12" s="159"/>
      <c r="T12" s="73" t="s">
        <v>142</v>
      </c>
      <c r="U12" s="763">
        <f ca="1">U10-U9</f>
        <v>-8.4488000000000021</v>
      </c>
      <c r="V12" s="764"/>
      <c r="W12" s="765"/>
      <c r="Y12" s="228"/>
      <c r="Z12" s="73" t="s">
        <v>140</v>
      </c>
      <c r="AA12" s="333" t="e" vm="3">
        <v>#VALUE!</v>
      </c>
      <c r="AB12" s="334"/>
      <c r="AC12" s="335"/>
      <c r="AE12" s="228"/>
    </row>
    <row r="13" spans="1:31">
      <c r="B13" s="284">
        <v>46049</v>
      </c>
      <c r="C13" s="329">
        <v>14.99</v>
      </c>
      <c r="D13" s="330">
        <v>1.1726999999999999E-4</v>
      </c>
      <c r="E13" s="329">
        <v>127000</v>
      </c>
      <c r="G13" s="159"/>
      <c r="H13" s="285"/>
      <c r="I13" s="54"/>
      <c r="J13" s="63"/>
      <c r="K13" s="54"/>
      <c r="M13" s="159"/>
      <c r="N13" s="285"/>
      <c r="O13" s="54"/>
      <c r="P13" s="63"/>
      <c r="Q13" s="54"/>
      <c r="S13" s="159"/>
      <c r="T13" s="73" t="s">
        <v>143</v>
      </c>
      <c r="U13" s="766">
        <f ca="1">U12/U9</f>
        <v>-0.28162666666666675</v>
      </c>
      <c r="V13" s="767"/>
      <c r="W13" s="768"/>
      <c r="Y13" s="228"/>
      <c r="Z13" s="73" t="s">
        <v>142</v>
      </c>
      <c r="AA13" s="778">
        <f ca="1">AA10-AA9</f>
        <v>-0.32338399999999012</v>
      </c>
      <c r="AB13" s="779"/>
      <c r="AC13" s="780"/>
      <c r="AE13" s="228"/>
    </row>
    <row r="14" spans="1:31">
      <c r="B14" s="284">
        <v>46058</v>
      </c>
      <c r="C14" s="329">
        <v>14.99</v>
      </c>
      <c r="D14" s="330">
        <v>1.3841999999999999E-4</v>
      </c>
      <c r="E14" s="329">
        <v>107600</v>
      </c>
      <c r="G14" s="159"/>
      <c r="H14" s="285"/>
      <c r="I14" s="54"/>
      <c r="J14" s="63"/>
      <c r="K14" s="54"/>
      <c r="M14" s="159"/>
      <c r="N14" s="285"/>
      <c r="O14" s="54"/>
      <c r="P14" s="63"/>
      <c r="Q14" s="54"/>
      <c r="S14" s="159"/>
      <c r="Y14" s="228"/>
      <c r="Z14" s="73" t="s">
        <v>143</v>
      </c>
      <c r="AA14" s="781">
        <f ca="1">AA13/AA9</f>
        <v>-4.7894549763031714E-3</v>
      </c>
      <c r="AB14" s="782"/>
      <c r="AC14" s="783"/>
      <c r="AE14" s="228"/>
    </row>
    <row r="15" spans="1:31">
      <c r="B15" s="284">
        <v>46076</v>
      </c>
      <c r="C15" s="329">
        <v>14.99</v>
      </c>
      <c r="D15" s="330">
        <v>1.5668999999999999E-4</v>
      </c>
      <c r="E15" s="329">
        <v>95000</v>
      </c>
      <c r="G15" s="159"/>
      <c r="H15" s="285"/>
      <c r="I15" s="63"/>
      <c r="J15" s="63"/>
      <c r="K15" s="63"/>
      <c r="M15" s="159"/>
      <c r="N15" s="285"/>
      <c r="O15" s="63"/>
      <c r="P15" s="63"/>
      <c r="Q15" s="63"/>
      <c r="S15" s="159"/>
      <c r="Y15" s="228"/>
      <c r="Z15" s="332" t="s">
        <v>461</v>
      </c>
      <c r="AA15" s="332" t="e" vm="4">
        <v>#VALUE!</v>
      </c>
      <c r="AB15" s="776" cm="1">
        <f t="array" aca="1" ref="AB15" ca="1">_xlfn.FIELDVALUE(AA15,"Price")</f>
        <v>1.3979999999999999</v>
      </c>
      <c r="AC15" s="777"/>
      <c r="AE15" s="228"/>
    </row>
    <row r="16" spans="1:31">
      <c r="B16" s="284">
        <v>46099</v>
      </c>
      <c r="C16" s="329">
        <v>14.99</v>
      </c>
      <c r="D16" s="330">
        <v>1.4318999999999999E-4</v>
      </c>
      <c r="E16" s="329">
        <v>104000</v>
      </c>
      <c r="G16" s="159"/>
      <c r="H16" s="286" t="s">
        <v>465</v>
      </c>
      <c r="I16" s="185">
        <f>SUM(I6:I15)</f>
        <v>318</v>
      </c>
      <c r="J16" s="287">
        <f>SUM(J6:J15)</f>
        <v>4.0453999999999999</v>
      </c>
      <c r="K16" s="185">
        <f>AVERAGE(K6:K15)</f>
        <v>79.093333333333334</v>
      </c>
      <c r="L16" s="185" t="s">
        <v>293</v>
      </c>
      <c r="M16" s="159"/>
      <c r="N16" s="286" t="s">
        <v>465</v>
      </c>
      <c r="O16" s="185">
        <f>SUM(O6:O15)</f>
        <v>90</v>
      </c>
      <c r="P16" s="287">
        <f>SUM(P6:P15)</f>
        <v>1.0002</v>
      </c>
      <c r="Q16" s="185">
        <f>AVERAGE(Q6:Q15)</f>
        <v>90.26166666666667</v>
      </c>
      <c r="R16" s="185" t="s">
        <v>293</v>
      </c>
      <c r="S16" s="328"/>
      <c r="Y16" s="228"/>
      <c r="AE16" s="228"/>
    </row>
    <row r="17" spans="2:31">
      <c r="B17" s="284">
        <v>46100</v>
      </c>
      <c r="C17" s="329">
        <v>14.99</v>
      </c>
      <c r="D17" s="330">
        <v>1.4596999999999999E-4</v>
      </c>
      <c r="E17" s="329">
        <v>102000</v>
      </c>
      <c r="G17" s="159"/>
      <c r="H17" s="288" t="s">
        <v>369</v>
      </c>
      <c r="I17" s="186">
        <f ca="1">J16*K17</f>
        <v>329.98327799999998</v>
      </c>
      <c r="J17" s="289"/>
      <c r="K17" s="186" cm="1">
        <f t="array" aca="1" ref="K17" ca="1">_xlfn.FIELDVALUE(I18,"Price")</f>
        <v>81.569999999999993</v>
      </c>
      <c r="M17" s="159"/>
      <c r="N17" s="288" t="s">
        <v>369</v>
      </c>
      <c r="O17" s="186">
        <f ca="1">P16*Q17</f>
        <v>90.088013999999987</v>
      </c>
      <c r="P17" s="289"/>
      <c r="Q17" s="186" cm="1">
        <f t="array" aca="1" ref="Q17" ca="1">_xlfn.FIELDVALUE(O18,"Price")</f>
        <v>90.07</v>
      </c>
      <c r="S17" s="159"/>
      <c r="Y17" s="228"/>
      <c r="AE17" s="228"/>
    </row>
    <row r="18" spans="2:31" ht="16" customHeight="1">
      <c r="B18" s="284">
        <v>46100</v>
      </c>
      <c r="C18" s="329">
        <v>14.99</v>
      </c>
      <c r="D18" s="330">
        <v>1.4894999999999999E-4</v>
      </c>
      <c r="E18" s="329">
        <v>100000</v>
      </c>
      <c r="G18" s="159"/>
      <c r="H18" s="288" t="s">
        <v>368</v>
      </c>
      <c r="I18" s="759" t="e" vm="5">
        <v>#VALUE!</v>
      </c>
      <c r="J18" s="759"/>
      <c r="K18" s="759"/>
      <c r="M18" s="159"/>
      <c r="N18" s="288" t="s">
        <v>368</v>
      </c>
      <c r="O18" s="759" t="e" vm="6">
        <v>#VALUE!</v>
      </c>
      <c r="P18" s="759"/>
      <c r="Q18" s="759"/>
      <c r="S18" s="159"/>
      <c r="Y18" s="228"/>
      <c r="AE18" s="228"/>
    </row>
    <row r="19" spans="2:31">
      <c r="B19" s="284">
        <v>46103</v>
      </c>
      <c r="C19" s="329">
        <v>14.99</v>
      </c>
      <c r="D19" s="330">
        <v>1.5113E-4</v>
      </c>
      <c r="E19" s="329">
        <v>98000</v>
      </c>
      <c r="G19" s="159"/>
      <c r="H19" s="288" t="s">
        <v>142</v>
      </c>
      <c r="I19" s="752">
        <f ca="1">I17-I16</f>
        <v>11.983277999999984</v>
      </c>
      <c r="J19" s="753"/>
      <c r="K19" s="754"/>
      <c r="M19" s="159"/>
      <c r="N19" s="288" t="s">
        <v>142</v>
      </c>
      <c r="O19" s="752">
        <f ca="1">O17-O16</f>
        <v>8.8013999999986936E-2</v>
      </c>
      <c r="P19" s="753"/>
      <c r="Q19" s="754"/>
      <c r="S19" s="159"/>
      <c r="Y19" s="228"/>
      <c r="AE19" s="228"/>
    </row>
    <row r="20" spans="2:31">
      <c r="B20" s="284">
        <v>46114</v>
      </c>
      <c r="C20" s="329">
        <v>14.99</v>
      </c>
      <c r="D20" s="330">
        <v>1.5192E-4</v>
      </c>
      <c r="E20" s="329">
        <v>98000</v>
      </c>
      <c r="G20" s="159"/>
      <c r="H20" s="288" t="s">
        <v>143</v>
      </c>
      <c r="I20" s="741">
        <f ca="1">I19/I16</f>
        <v>3.7683264150943349E-2</v>
      </c>
      <c r="J20" s="742"/>
      <c r="K20" s="743"/>
      <c r="M20" s="159"/>
      <c r="N20" s="288" t="s">
        <v>143</v>
      </c>
      <c r="O20" s="741">
        <f ca="1">O19/O16</f>
        <v>9.7793333333318815E-4</v>
      </c>
      <c r="P20" s="742"/>
      <c r="Q20" s="743"/>
      <c r="S20" s="159"/>
      <c r="Y20" s="228"/>
      <c r="AE20" s="228"/>
    </row>
    <row r="21" spans="2:31">
      <c r="B21" s="284">
        <v>46125</v>
      </c>
      <c r="C21" s="329">
        <v>14.99</v>
      </c>
      <c r="D21" s="330">
        <v>1.4348E-4</v>
      </c>
      <c r="E21" s="329">
        <v>101000</v>
      </c>
      <c r="G21" s="159"/>
      <c r="M21" s="159"/>
      <c r="S21" s="159"/>
      <c r="Y21" s="228"/>
      <c r="AE21" s="228"/>
    </row>
    <row r="22" spans="2:31">
      <c r="B22" s="284">
        <v>46128</v>
      </c>
      <c r="C22" s="54">
        <v>14.99</v>
      </c>
      <c r="D22" s="63">
        <v>1.4438E-4</v>
      </c>
      <c r="E22" s="54">
        <v>102500</v>
      </c>
      <c r="G22" s="159"/>
      <c r="M22" s="159"/>
      <c r="S22" s="159"/>
      <c r="Y22" s="228"/>
      <c r="AE22" s="228"/>
    </row>
    <row r="23" spans="2:31">
      <c r="B23" s="284">
        <v>46136</v>
      </c>
      <c r="C23" s="329">
        <v>14.99</v>
      </c>
      <c r="D23" s="330">
        <v>1.3574E-4</v>
      </c>
      <c r="E23" s="329">
        <v>109727</v>
      </c>
      <c r="G23" s="159"/>
      <c r="M23" s="159"/>
      <c r="S23" s="159"/>
      <c r="Y23" s="228"/>
      <c r="AE23" s="228"/>
    </row>
    <row r="24" spans="2:31">
      <c r="B24" s="284">
        <v>46140</v>
      </c>
      <c r="C24" s="329">
        <v>14.99</v>
      </c>
      <c r="D24" s="331">
        <v>1.3742999999999999E-4</v>
      </c>
      <c r="E24" s="329">
        <v>108341.7</v>
      </c>
      <c r="G24" s="159"/>
      <c r="M24" s="159"/>
      <c r="S24" s="159"/>
      <c r="Y24" s="228"/>
      <c r="AE24" s="228"/>
    </row>
    <row r="25" spans="2:31">
      <c r="B25" s="284">
        <v>46148</v>
      </c>
      <c r="C25" s="329">
        <v>14.99</v>
      </c>
      <c r="D25" s="330">
        <v>1.3147000000000001E-4</v>
      </c>
      <c r="E25" s="329">
        <v>113219.6</v>
      </c>
      <c r="G25" s="159"/>
      <c r="M25" s="159"/>
      <c r="S25" s="159"/>
      <c r="Y25" s="228"/>
      <c r="AE25" s="228"/>
    </row>
    <row r="26" spans="2:31">
      <c r="B26" s="284">
        <v>46155</v>
      </c>
      <c r="C26" s="329">
        <v>14.99</v>
      </c>
      <c r="D26" s="330">
        <v>1.3604000000000001E-4</v>
      </c>
      <c r="E26" s="329">
        <v>109431.6</v>
      </c>
      <c r="G26" s="159"/>
      <c r="M26" s="159"/>
      <c r="S26" s="159"/>
      <c r="Y26" s="228"/>
      <c r="AE26" s="228"/>
    </row>
    <row r="27" spans="2:31">
      <c r="B27" s="284"/>
      <c r="C27" s="329"/>
      <c r="D27" s="330"/>
      <c r="E27" s="329"/>
      <c r="G27" s="159"/>
      <c r="M27" s="159"/>
      <c r="S27" s="159"/>
      <c r="Y27" s="228"/>
      <c r="AE27" s="228"/>
    </row>
    <row r="28" spans="2:31">
      <c r="B28" s="284"/>
      <c r="C28" s="329"/>
      <c r="D28" s="330"/>
      <c r="E28" s="329"/>
      <c r="G28" s="159"/>
      <c r="M28" s="159"/>
      <c r="S28" s="159"/>
      <c r="Y28" s="228"/>
      <c r="AE28" s="228"/>
    </row>
    <row r="29" spans="2:31">
      <c r="B29" s="70" t="s">
        <v>146</v>
      </c>
      <c r="C29" s="71"/>
      <c r="D29" s="187">
        <f>SUM(D6:D28)</f>
        <v>3.4605500000000002E-3</v>
      </c>
      <c r="E29" s="71"/>
      <c r="G29" s="159"/>
      <c r="M29" s="159"/>
      <c r="S29" s="159"/>
      <c r="Y29" s="228"/>
      <c r="AE29" s="228"/>
    </row>
    <row r="30" spans="2:31">
      <c r="B30" s="72" t="s">
        <v>145</v>
      </c>
      <c r="C30" s="185">
        <f>SUM(C6:C28)</f>
        <v>368.86000000000013</v>
      </c>
      <c r="D30" s="188">
        <f>SUM(D8:D28,D6)</f>
        <v>3.0248499999999999E-3</v>
      </c>
      <c r="E30" s="185">
        <f>AVERAGE(E6,E8:E28)</f>
        <v>119762.73000000001</v>
      </c>
      <c r="F30" s="185" t="s">
        <v>293</v>
      </c>
      <c r="G30" s="159"/>
      <c r="M30" s="159"/>
      <c r="S30" s="159"/>
      <c r="Y30" s="228"/>
      <c r="AE30" s="228"/>
    </row>
    <row r="31" spans="2:31">
      <c r="B31" s="72" t="s">
        <v>147</v>
      </c>
      <c r="C31" s="66">
        <f ca="1">D30*E31</f>
        <v>330.21314416252</v>
      </c>
      <c r="D31" s="73"/>
      <c r="E31" s="66" cm="1">
        <f t="array" aca="1" ref="E31" ca="1">_xlfn.FIELDVALUE(C32,"Price")</f>
        <v>109166.78320000001</v>
      </c>
      <c r="G31" s="159"/>
      <c r="M31" s="159"/>
      <c r="S31" s="159"/>
      <c r="Y31" s="228"/>
      <c r="AE31" s="228"/>
    </row>
    <row r="32" spans="2:31" ht="16" customHeight="1">
      <c r="B32" s="73" t="s">
        <v>292</v>
      </c>
      <c r="C32" s="756" t="e" vm="7">
        <v>#VALUE!</v>
      </c>
      <c r="D32" s="757"/>
      <c r="E32" s="758"/>
      <c r="G32" s="159"/>
      <c r="M32" s="159"/>
      <c r="S32" s="159"/>
      <c r="Y32" s="228"/>
      <c r="AE32" s="228"/>
    </row>
    <row r="33" spans="2:31">
      <c r="B33" s="73" t="s">
        <v>142</v>
      </c>
      <c r="C33" s="769">
        <f ca="1">C31-C30</f>
        <v>-38.646855837480132</v>
      </c>
      <c r="D33" s="770"/>
      <c r="E33" s="771"/>
      <c r="G33" s="159"/>
      <c r="M33" s="159"/>
      <c r="S33" s="159"/>
      <c r="Y33" s="228"/>
      <c r="AE33" s="228"/>
    </row>
    <row r="34" spans="2:31">
      <c r="B34" s="73" t="s">
        <v>143</v>
      </c>
      <c r="C34" s="749">
        <f ca="1">C33/C30</f>
        <v>-0.10477377822881342</v>
      </c>
      <c r="D34" s="750"/>
      <c r="E34" s="751"/>
      <c r="G34" s="159"/>
      <c r="M34" s="159"/>
      <c r="S34" s="159"/>
      <c r="Y34" s="228"/>
      <c r="AE34" s="228"/>
    </row>
  </sheetData>
  <mergeCells count="25">
    <mergeCell ref="N4:Q4"/>
    <mergeCell ref="O18:Q18"/>
    <mergeCell ref="O19:Q19"/>
    <mergeCell ref="Z2:AD2"/>
    <mergeCell ref="AA11:AC11"/>
    <mergeCell ref="AB15:AC15"/>
    <mergeCell ref="AA13:AC13"/>
    <mergeCell ref="AA14:AC14"/>
    <mergeCell ref="Z4:AC4"/>
    <mergeCell ref="O20:Q20"/>
    <mergeCell ref="A2:F2"/>
    <mergeCell ref="H2:R2"/>
    <mergeCell ref="T2:X2"/>
    <mergeCell ref="C34:E34"/>
    <mergeCell ref="I19:K19"/>
    <mergeCell ref="I20:K20"/>
    <mergeCell ref="B4:E4"/>
    <mergeCell ref="H4:K4"/>
    <mergeCell ref="C32:E32"/>
    <mergeCell ref="I18:K18"/>
    <mergeCell ref="T4:W4"/>
    <mergeCell ref="U11:W11"/>
    <mergeCell ref="U12:W12"/>
    <mergeCell ref="U13:W13"/>
    <mergeCell ref="C33:E33"/>
  </mergeCells>
  <conditionalFormatting sqref="C33:C34">
    <cfRule type="cellIs" dxfId="12" priority="7" operator="lessThan">
      <formula>0</formula>
    </cfRule>
    <cfRule type="cellIs" dxfId="11" priority="8" operator="greaterThan">
      <formula>0</formula>
    </cfRule>
  </conditionalFormatting>
  <conditionalFormatting sqref="O19:Q20">
    <cfRule type="cellIs" dxfId="10" priority="3" operator="greaterThanOrEqual">
      <formula>0</formula>
    </cfRule>
    <cfRule type="cellIs" dxfId="9" priority="4" operator="lessThan">
      <formula>0</formula>
    </cfRule>
  </conditionalFormatting>
  <conditionalFormatting sqref="U12:W13 AA13:AC14 I19:K20">
    <cfRule type="cellIs" dxfId="8" priority="1" operator="greaterThanOrEqual">
      <formula>0</formula>
    </cfRule>
    <cfRule type="cellIs" dxfId="7" priority="2" operator="lessThan">
      <formula>0</formula>
    </cfRule>
  </conditionalFormatting>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D8792-C868-414B-8E33-8582F33F03C3}">
  <dimension ref="A1:O24"/>
  <sheetViews>
    <sheetView zoomScale="75" zoomScaleNormal="90" workbookViewId="0">
      <selection activeCell="D11" sqref="D11"/>
    </sheetView>
  </sheetViews>
  <sheetFormatPr baseColWidth="10" defaultRowHeight="16"/>
  <cols>
    <col min="2" max="2" width="48.6640625" customWidth="1"/>
    <col min="8" max="8" width="15.6640625" bestFit="1" customWidth="1"/>
  </cols>
  <sheetData>
    <row r="1" spans="1:15" ht="22">
      <c r="J1" s="816"/>
      <c r="K1" s="817"/>
      <c r="L1" s="817"/>
    </row>
    <row r="2" spans="1:15" ht="19">
      <c r="B2" s="807" t="s">
        <v>445</v>
      </c>
      <c r="C2" s="808"/>
      <c r="D2" s="808"/>
      <c r="E2" s="808"/>
      <c r="F2" s="808"/>
      <c r="G2" s="808"/>
      <c r="H2" s="809"/>
      <c r="J2" s="818" t="s">
        <v>444</v>
      </c>
      <c r="K2" s="819"/>
      <c r="L2" s="819"/>
      <c r="M2" s="820"/>
      <c r="O2" s="316"/>
    </row>
    <row r="3" spans="1:15">
      <c r="B3" s="810" t="s">
        <v>443</v>
      </c>
      <c r="C3" s="811"/>
      <c r="D3" s="811"/>
      <c r="E3" s="811"/>
      <c r="F3" s="811"/>
      <c r="G3" s="811"/>
      <c r="H3" s="812"/>
      <c r="J3" s="804" t="s">
        <v>442</v>
      </c>
      <c r="K3" s="805"/>
      <c r="L3" s="805"/>
      <c r="M3" s="806"/>
      <c r="O3" s="56"/>
    </row>
    <row r="4" spans="1:15" ht="34">
      <c r="B4" s="322" t="s">
        <v>387</v>
      </c>
      <c r="C4" s="308" t="s">
        <v>388</v>
      </c>
      <c r="D4" s="308" t="s">
        <v>441</v>
      </c>
      <c r="E4" s="308" t="s">
        <v>389</v>
      </c>
      <c r="F4" s="308" t="s">
        <v>440</v>
      </c>
      <c r="G4" s="308" t="s">
        <v>14</v>
      </c>
      <c r="H4" s="308" t="s">
        <v>439</v>
      </c>
      <c r="J4" s="308" t="s">
        <v>438</v>
      </c>
      <c r="K4" s="308" t="s">
        <v>437</v>
      </c>
      <c r="L4" s="308" t="s">
        <v>436</v>
      </c>
      <c r="M4" s="308" t="s">
        <v>435</v>
      </c>
      <c r="O4" s="317"/>
    </row>
    <row r="5" spans="1:15" ht="55" customHeight="1">
      <c r="B5" s="321" t="s">
        <v>391</v>
      </c>
      <c r="C5" s="312">
        <v>20</v>
      </c>
      <c r="D5" s="323">
        <v>4.5</v>
      </c>
      <c r="E5" s="313">
        <f t="shared" ref="E5:E10" si="0">C5*D5/5</f>
        <v>18</v>
      </c>
      <c r="F5" s="314" t="str">
        <f t="shared" ref="F5:F10" si="1">IF(D5="","",IF(D5&gt;=4,"Strong",IF(D5&gt;=3,"OK","Weak")))</f>
        <v>Strong</v>
      </c>
      <c r="G5" s="315"/>
      <c r="H5" s="307" t="s">
        <v>446</v>
      </c>
      <c r="J5" s="319">
        <v>0</v>
      </c>
      <c r="K5" s="319" t="s">
        <v>434</v>
      </c>
      <c r="L5" s="319" t="s">
        <v>433</v>
      </c>
      <c r="M5" s="319" t="s">
        <v>432</v>
      </c>
      <c r="O5" s="318"/>
    </row>
    <row r="6" spans="1:15" ht="30">
      <c r="B6" s="321" t="s">
        <v>392</v>
      </c>
      <c r="C6" s="312">
        <v>15</v>
      </c>
      <c r="D6" s="323">
        <v>4.5</v>
      </c>
      <c r="E6" s="313">
        <f t="shared" si="0"/>
        <v>13.5</v>
      </c>
      <c r="F6" s="314" t="str">
        <f t="shared" si="1"/>
        <v>Strong</v>
      </c>
      <c r="G6" s="315"/>
      <c r="H6" s="307" t="s">
        <v>431</v>
      </c>
      <c r="J6" s="319">
        <v>1</v>
      </c>
      <c r="K6" s="319" t="s">
        <v>430</v>
      </c>
      <c r="L6" s="319" t="s">
        <v>429</v>
      </c>
      <c r="M6" s="319" t="s">
        <v>428</v>
      </c>
      <c r="O6" s="318"/>
    </row>
    <row r="7" spans="1:15" ht="45">
      <c r="B7" s="321" t="s">
        <v>393</v>
      </c>
      <c r="C7" s="312">
        <v>15</v>
      </c>
      <c r="D7" s="323">
        <v>3</v>
      </c>
      <c r="E7" s="313">
        <f t="shared" si="0"/>
        <v>9</v>
      </c>
      <c r="F7" s="314" t="str">
        <f t="shared" si="1"/>
        <v>OK</v>
      </c>
      <c r="G7" s="315"/>
      <c r="H7" s="307" t="s">
        <v>427</v>
      </c>
      <c r="J7" s="319">
        <v>2</v>
      </c>
      <c r="K7" s="319" t="s">
        <v>397</v>
      </c>
      <c r="L7" s="319" t="s">
        <v>426</v>
      </c>
      <c r="M7" s="319" t="s">
        <v>425</v>
      </c>
      <c r="O7" s="318"/>
    </row>
    <row r="8" spans="1:15" ht="66" customHeight="1">
      <c r="B8" s="321" t="s">
        <v>394</v>
      </c>
      <c r="C8" s="312">
        <v>20</v>
      </c>
      <c r="D8" s="323">
        <v>4</v>
      </c>
      <c r="E8" s="313">
        <f t="shared" si="0"/>
        <v>16</v>
      </c>
      <c r="F8" s="314" t="str">
        <f t="shared" si="1"/>
        <v>Strong</v>
      </c>
      <c r="G8" s="315"/>
      <c r="H8" s="307" t="s">
        <v>424</v>
      </c>
      <c r="J8" s="319">
        <v>3</v>
      </c>
      <c r="K8" s="319" t="s">
        <v>423</v>
      </c>
      <c r="L8" s="319" t="s">
        <v>422</v>
      </c>
      <c r="M8" s="319" t="s">
        <v>421</v>
      </c>
      <c r="O8" s="318"/>
    </row>
    <row r="9" spans="1:15" ht="56" customHeight="1">
      <c r="B9" s="321" t="s">
        <v>395</v>
      </c>
      <c r="C9" s="312">
        <v>15</v>
      </c>
      <c r="D9" s="323">
        <v>3.5</v>
      </c>
      <c r="E9" s="313">
        <f t="shared" si="0"/>
        <v>10.5</v>
      </c>
      <c r="F9" s="314" t="str">
        <f t="shared" si="1"/>
        <v>OK</v>
      </c>
      <c r="G9" s="315"/>
      <c r="H9" s="307" t="s">
        <v>420</v>
      </c>
      <c r="J9" s="319">
        <v>4</v>
      </c>
      <c r="K9" s="319" t="s">
        <v>419</v>
      </c>
      <c r="L9" s="319" t="s">
        <v>418</v>
      </c>
      <c r="M9" s="319" t="s">
        <v>417</v>
      </c>
      <c r="O9" s="318"/>
    </row>
    <row r="10" spans="1:15" ht="42">
      <c r="B10" s="321" t="s">
        <v>396</v>
      </c>
      <c r="C10" s="312">
        <v>15</v>
      </c>
      <c r="D10" s="323">
        <v>3.5</v>
      </c>
      <c r="E10" s="313">
        <f t="shared" si="0"/>
        <v>10.5</v>
      </c>
      <c r="F10" s="314" t="str">
        <f t="shared" si="1"/>
        <v>OK</v>
      </c>
      <c r="G10" s="315"/>
      <c r="H10" s="307" t="s">
        <v>416</v>
      </c>
      <c r="J10" s="319">
        <v>5</v>
      </c>
      <c r="K10" s="319" t="s">
        <v>415</v>
      </c>
      <c r="L10" s="319" t="s">
        <v>414</v>
      </c>
      <c r="M10" s="319" t="s">
        <v>413</v>
      </c>
      <c r="O10" s="318"/>
    </row>
    <row r="11" spans="1:15">
      <c r="B11" s="305"/>
      <c r="C11" s="305"/>
      <c r="D11" s="305"/>
      <c r="E11" s="305"/>
      <c r="F11" s="305"/>
      <c r="G11" s="305"/>
      <c r="H11" s="305"/>
      <c r="J11" s="305"/>
      <c r="K11" s="305"/>
      <c r="L11" s="305"/>
      <c r="M11" s="305"/>
      <c r="O11" s="317"/>
    </row>
    <row r="12" spans="1:15" ht="22" customHeight="1">
      <c r="B12" s="310" t="s">
        <v>386</v>
      </c>
      <c r="C12" s="309"/>
      <c r="D12" s="311">
        <f>SUM(E5:E10)</f>
        <v>77.5</v>
      </c>
      <c r="E12" s="789"/>
      <c r="F12" s="790"/>
      <c r="G12" s="790"/>
      <c r="H12" s="791"/>
      <c r="J12" s="804" t="s">
        <v>412</v>
      </c>
      <c r="K12" s="805"/>
      <c r="L12" s="805"/>
      <c r="M12" s="806"/>
    </row>
    <row r="13" spans="1:15">
      <c r="B13" s="310" t="s">
        <v>390</v>
      </c>
      <c r="C13" s="309"/>
      <c r="D13" s="307" t="str">
        <f>IF(D12="","",IF(D12&gt;=80,"Très bon dossier",IF(D12&gt;=70,"Bon dossier",IF(D12&gt;=60,"Moyen / prix très important","Non pour l’instant"))))</f>
        <v>Bon dossier</v>
      </c>
      <c r="E13" s="792"/>
      <c r="F13" s="793"/>
      <c r="G13" s="793"/>
      <c r="H13" s="794"/>
      <c r="J13" s="821" t="s">
        <v>411</v>
      </c>
      <c r="K13" s="822"/>
      <c r="L13" s="822"/>
      <c r="M13" s="823"/>
    </row>
    <row r="14" spans="1:15">
      <c r="B14" s="310" t="s">
        <v>410</v>
      </c>
      <c r="C14" s="309"/>
      <c r="D14" s="324" t="s">
        <v>447</v>
      </c>
      <c r="E14" s="784" t="s">
        <v>409</v>
      </c>
      <c r="F14" s="785"/>
      <c r="G14" s="785"/>
      <c r="H14" s="786"/>
      <c r="J14" s="824" t="s">
        <v>408</v>
      </c>
      <c r="K14" s="825"/>
      <c r="L14" s="825"/>
      <c r="M14" s="826"/>
    </row>
    <row r="15" spans="1:15" ht="28">
      <c r="A15" s="303"/>
      <c r="B15" s="310" t="s">
        <v>407</v>
      </c>
      <c r="C15" s="309"/>
      <c r="D15" s="306" t="str">
        <f>IF(OR(D14="Oui",D12=""),"",IF(D12&gt;=80,"Achat possible / surveillance active",IF(D12&gt;=70,"Surveiller ou petite ligne",IF(D12&gt;=60,"Watchlist seulement","Rejeter pour l’instant"))))</f>
        <v>Surveiller ou petite ligne</v>
      </c>
      <c r="E15" s="795"/>
      <c r="F15" s="796"/>
      <c r="G15" s="796"/>
      <c r="H15" s="797"/>
      <c r="J15" s="813" t="s">
        <v>406</v>
      </c>
      <c r="K15" s="814"/>
      <c r="L15" s="814"/>
      <c r="M15" s="815"/>
    </row>
    <row r="16" spans="1:15" ht="16" customHeight="1">
      <c r="B16" s="305"/>
      <c r="C16" s="305"/>
      <c r="D16" s="305"/>
      <c r="E16" s="305"/>
      <c r="F16" s="305"/>
      <c r="G16" s="305"/>
      <c r="H16" s="305"/>
      <c r="J16" s="798" t="s">
        <v>405</v>
      </c>
      <c r="K16" s="799"/>
      <c r="L16" s="799"/>
      <c r="M16" s="800"/>
    </row>
    <row r="17" spans="1:15">
      <c r="A17" s="320"/>
      <c r="B17" s="787" t="s">
        <v>404</v>
      </c>
      <c r="C17" s="787"/>
      <c r="D17" s="787"/>
      <c r="E17" s="787"/>
      <c r="F17" s="787"/>
      <c r="G17" s="787"/>
      <c r="H17" s="788"/>
      <c r="J17" s="801"/>
      <c r="K17" s="802"/>
      <c r="L17" s="802"/>
      <c r="M17" s="803"/>
      <c r="O17" s="317"/>
    </row>
    <row r="18" spans="1:15" ht="16" customHeight="1">
      <c r="A18" s="304"/>
      <c r="B18" s="317"/>
      <c r="C18" s="317"/>
      <c r="D18" s="317"/>
      <c r="E18" s="317"/>
      <c r="F18" s="317"/>
      <c r="G18" s="317"/>
      <c r="H18" s="317"/>
      <c r="J18" s="804" t="s">
        <v>403</v>
      </c>
      <c r="K18" s="805"/>
      <c r="L18" s="805"/>
      <c r="M18" s="806"/>
    </row>
    <row r="19" spans="1:15">
      <c r="A19" s="302"/>
      <c r="B19" s="317"/>
      <c r="C19" s="317"/>
      <c r="D19" s="317"/>
      <c r="E19" s="317"/>
      <c r="F19" s="317"/>
      <c r="G19" s="317"/>
      <c r="H19" s="317"/>
      <c r="J19" s="784" t="s">
        <v>402</v>
      </c>
      <c r="K19" s="785"/>
      <c r="L19" s="785"/>
      <c r="M19" s="786"/>
    </row>
    <row r="20" spans="1:15">
      <c r="A20" s="302"/>
      <c r="B20" s="317"/>
      <c r="C20" s="317"/>
      <c r="D20" s="317"/>
      <c r="E20" s="317"/>
      <c r="F20" s="317"/>
      <c r="G20" s="317"/>
      <c r="H20" s="317"/>
      <c r="J20" s="784" t="s">
        <v>401</v>
      </c>
      <c r="K20" s="785"/>
      <c r="L20" s="785"/>
      <c r="M20" s="786"/>
    </row>
    <row r="21" spans="1:15">
      <c r="A21" s="302"/>
      <c r="B21" s="317"/>
      <c r="C21" s="317"/>
      <c r="D21" s="317"/>
      <c r="E21" s="317"/>
      <c r="F21" s="317"/>
      <c r="G21" s="317"/>
      <c r="H21" s="317"/>
      <c r="J21" s="784" t="s">
        <v>400</v>
      </c>
      <c r="K21" s="785"/>
      <c r="L21" s="785"/>
      <c r="M21" s="786"/>
    </row>
    <row r="22" spans="1:15">
      <c r="A22" s="302"/>
      <c r="B22" s="317"/>
      <c r="C22" s="317"/>
      <c r="D22" s="317"/>
      <c r="E22" s="317"/>
      <c r="F22" s="317"/>
      <c r="G22" s="317"/>
      <c r="H22" s="317"/>
      <c r="J22" s="784" t="s">
        <v>399</v>
      </c>
      <c r="K22" s="785"/>
      <c r="L22" s="785"/>
      <c r="M22" s="786"/>
    </row>
    <row r="23" spans="1:15">
      <c r="A23" s="302"/>
      <c r="B23" s="317"/>
      <c r="C23" s="317"/>
      <c r="D23" s="317"/>
      <c r="E23" s="317"/>
      <c r="F23" s="317"/>
      <c r="G23" s="317"/>
      <c r="H23" s="317"/>
      <c r="J23" s="784" t="s">
        <v>398</v>
      </c>
      <c r="K23" s="785"/>
      <c r="L23" s="785"/>
      <c r="M23" s="786"/>
    </row>
    <row r="24" spans="1:15">
      <c r="A24" s="302"/>
    </row>
  </sheetData>
  <mergeCells count="21">
    <mergeCell ref="B2:H2"/>
    <mergeCell ref="B3:H3"/>
    <mergeCell ref="J15:M15"/>
    <mergeCell ref="J1:L1"/>
    <mergeCell ref="J2:M2"/>
    <mergeCell ref="J3:M3"/>
    <mergeCell ref="J12:M12"/>
    <mergeCell ref="J13:M13"/>
    <mergeCell ref="J14:M14"/>
    <mergeCell ref="J22:M22"/>
    <mergeCell ref="J23:M23"/>
    <mergeCell ref="B17:H17"/>
    <mergeCell ref="E14:H14"/>
    <mergeCell ref="E12:H13"/>
    <mergeCell ref="E15:H15"/>
    <mergeCell ref="J16:M16"/>
    <mergeCell ref="J17:M17"/>
    <mergeCell ref="J18:M18"/>
    <mergeCell ref="J19:M19"/>
    <mergeCell ref="J20:M20"/>
    <mergeCell ref="J21:M21"/>
  </mergeCells>
  <conditionalFormatting sqref="D5:D10">
    <cfRule type="cellIs" dxfId="6" priority="1" operator="greaterThanOrEqual">
      <formula>4</formula>
    </cfRule>
    <cfRule type="cellIs" dxfId="5" priority="2" operator="equal">
      <formula>3</formula>
    </cfRule>
    <cfRule type="cellIs" dxfId="4" priority="3" operator="lessThan">
      <formula>3</formula>
    </cfRule>
  </conditionalFormatting>
  <conditionalFormatting sqref="D12">
    <cfRule type="cellIs" dxfId="3" priority="4" operator="greaterThanOrEqual">
      <formula>80</formula>
    </cfRule>
    <cfRule type="cellIs" dxfId="2" priority="5" operator="between">
      <formula>60</formula>
      <formula>79.999</formula>
    </cfRule>
    <cfRule type="cellIs" dxfId="1" priority="6" operator="lessThan">
      <formula>60</formula>
    </cfRule>
  </conditionalFormatting>
  <conditionalFormatting sqref="D14">
    <cfRule type="expression" dxfId="0" priority="7">
      <formula>D14="Oui"</formula>
    </cfRule>
  </conditionalFormatting>
  <dataValidations count="2">
    <dataValidation type="list" allowBlank="1" sqref="D14" xr:uid="{00000000-0002-0000-0500-000001000000}">
      <formula1>"Oui,Non"</formula1>
    </dataValidation>
    <dataValidation type="whole" allowBlank="1" error="La note doit être entre 0 et 5." prompt="Entrer une note entre 0 et 5." sqref="D5:D10" xr:uid="{00000000-0002-0000-0500-000000000000}">
      <formula1>0</formula1>
      <formula2>5</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Eagle View</vt:lpstr>
      <vt:lpstr>Headquarters</vt:lpstr>
      <vt:lpstr>Money Flow</vt:lpstr>
      <vt:lpstr>Work Income Tracker</vt:lpstr>
      <vt:lpstr>Investing</vt:lpstr>
      <vt:lpstr>Stock Picking Scorecard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Maradas</dc:creator>
  <cp:lastModifiedBy>Nicolas Maradas</cp:lastModifiedBy>
  <dcterms:created xsi:type="dcterms:W3CDTF">2026-01-26T00:52:38Z</dcterms:created>
  <dcterms:modified xsi:type="dcterms:W3CDTF">2026-05-17T09:03:48Z</dcterms:modified>
</cp:coreProperties>
</file>